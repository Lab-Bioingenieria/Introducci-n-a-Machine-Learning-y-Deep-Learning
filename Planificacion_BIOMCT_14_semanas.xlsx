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emana 1" sheetId="2" state="visible" r:id="rId2"/>
    <sheet name="Semana 2" sheetId="3" state="visible" r:id="rId3"/>
    <sheet name="Semana 3" sheetId="4" state="visible" r:id="rId4"/>
    <sheet name="Semana 4" sheetId="5" state="visible" r:id="rId5"/>
    <sheet name="Semana 5" sheetId="6" state="visible" r:id="rId6"/>
    <sheet name="Semana 6" sheetId="7" state="visible" r:id="rId7"/>
    <sheet name="Semana 7" sheetId="8" state="visible" r:id="rId8"/>
    <sheet name="Semana 8" sheetId="9" state="visible" r:id="rId9"/>
    <sheet name="Semana 9" sheetId="10" state="visible" r:id="rId10"/>
    <sheet name="Semana 10" sheetId="11" state="visible" r:id="rId11"/>
    <sheet name="Semana 11" sheetId="12" state="visible" r:id="rId12"/>
    <sheet name="Semana 12" sheetId="13" state="visible" r:id="rId13"/>
    <sheet name="Semana 13" sheetId="14" state="visible" r:id="rId14"/>
    <sheet name="Semana 14" sheetId="15" state="visible" r:id="rId15"/>
    <sheet name="Enlaces verificado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"/>
    <numFmt numFmtId="166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563C1"/>
      <sz val="10"/>
    </font>
    <font>
      <name val="Arial"/>
      <b val="1"/>
      <color rgb="00008000"/>
      <sz val="10"/>
    </font>
    <font>
      <name val="Arial"/>
      <color rgb="00595959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9" fillId="0" borderId="1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0" borderId="1" applyAlignment="1" pivotButton="0" quotePrefix="0" xfId="0">
      <alignment vertical="top" wrapText="1"/>
    </xf>
    <xf numFmtId="0" fontId="5" fillId="5" borderId="0" pivotButton="0" quotePrefix="0" xfId="0"/>
    <xf numFmtId="0" fontId="0" fillId="5" borderId="0" pivotButton="0" quotePrefix="0" xfId="0"/>
    <xf numFmtId="0" fontId="7" fillId="0" borderId="1" applyAlignment="1" pivotButton="0" quotePrefix="0" xfId="0">
      <alignment horizontal="center" vertical="top" wrapText="1"/>
    </xf>
    <xf numFmtId="0" fontId="5" fillId="6" borderId="0" pivotButton="0" quotePrefix="0" xfId="0"/>
    <xf numFmtId="0" fontId="0" fillId="6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5" fillId="7" borderId="0" pivotButton="0" quotePrefix="0" xfId="0"/>
    <xf numFmtId="0" fontId="0" fillId="7" borderId="0" pivotButton="0" quotePrefix="0" xfId="0"/>
    <xf numFmtId="164" fontId="4" fillId="0" borderId="1" applyAlignment="1" pivotButton="0" quotePrefix="0" xfId="0">
      <alignment horizontal="center" vertical="top" wrapText="1"/>
    </xf>
    <xf numFmtId="2" fontId="4" fillId="0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top" wrapText="1"/>
    </xf>
    <xf numFmtId="166" fontId="4" fillId="0" borderId="1" applyAlignment="1" pivotButton="0" quotePrefix="0" xfId="0">
      <alignment horizontal="center" vertical="top" wrapText="1"/>
    </xf>
    <xf numFmtId="1" fontId="4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mana 1'!A1" TargetMode="External" Id="rId1" /><Relationship Type="http://schemas.openxmlformats.org/officeDocument/2006/relationships/hyperlink" Target="#'Semana 2'!A1" TargetMode="External" Id="rId2" /><Relationship Type="http://schemas.openxmlformats.org/officeDocument/2006/relationships/hyperlink" Target="#'Semana 3'!A1" TargetMode="External" Id="rId3" /><Relationship Type="http://schemas.openxmlformats.org/officeDocument/2006/relationships/hyperlink" Target="#'Semana 4'!A1" TargetMode="External" Id="rId4" /><Relationship Type="http://schemas.openxmlformats.org/officeDocument/2006/relationships/hyperlink" Target="#'Semana 5'!A1" TargetMode="External" Id="rId5" /><Relationship Type="http://schemas.openxmlformats.org/officeDocument/2006/relationships/hyperlink" Target="#'Semana 6'!A1" TargetMode="External" Id="rId6" /><Relationship Type="http://schemas.openxmlformats.org/officeDocument/2006/relationships/hyperlink" Target="#'Semana 7'!A1" TargetMode="External" Id="rId7" /><Relationship Type="http://schemas.openxmlformats.org/officeDocument/2006/relationships/hyperlink" Target="#'Semana 8'!A1" TargetMode="External" Id="rId8" /><Relationship Type="http://schemas.openxmlformats.org/officeDocument/2006/relationships/hyperlink" Target="#'Semana 9'!A1" TargetMode="External" Id="rId9" /><Relationship Type="http://schemas.openxmlformats.org/officeDocument/2006/relationships/hyperlink" Target="#'Semana 10'!A1" TargetMode="External" Id="rId10" /><Relationship Type="http://schemas.openxmlformats.org/officeDocument/2006/relationships/hyperlink" Target="#'Semana 11'!A1" TargetMode="External" Id="rId11" /><Relationship Type="http://schemas.openxmlformats.org/officeDocument/2006/relationships/hyperlink" Target="#'Semana 12'!A1" TargetMode="External" Id="rId12" /><Relationship Type="http://schemas.openxmlformats.org/officeDocument/2006/relationships/hyperlink" Target="#'Semana 13'!A1" TargetMode="External" Id="rId13" /><Relationship Type="http://schemas.openxmlformats.org/officeDocument/2006/relationships/hyperlink" Target="#'Semana 14'!A1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en.wikipedia.org/wiki/Biomechatronics" TargetMode="External" Id="rId1" /><Relationship Type="http://schemas.openxmlformats.org/officeDocument/2006/relationships/hyperlink" Target="https://pmc.ncbi.nlm.nih.gov/articles/PMC9326577/" TargetMode="External" Id="rId2" /><Relationship Type="http://schemas.openxmlformats.org/officeDocument/2006/relationships/hyperlink" Target="https://derekbruff.org/vanderbilt-cft-teaching-guides-archive/blooms-taxonomy/" TargetMode="External" Id="rId3" /><Relationship Type="http://schemas.openxmlformats.org/officeDocument/2006/relationships/hyperlink" Target="https://en.wikipedia.org/wiki/Biomechatronics" TargetMode="External" Id="rId4" /><Relationship Type="http://schemas.openxmlformats.org/officeDocument/2006/relationships/hyperlink" Target="https://en.wikipedia.org/wiki/Biomechatronics" TargetMode="External" Id="rId5" /><Relationship Type="http://schemas.openxmlformats.org/officeDocument/2006/relationships/hyperlink" Target="https://pmc.ncbi.nlm.nih.gov/articles/PMC9326577/" TargetMode="External" Id="rId6" /><Relationship Type="http://schemas.openxmlformats.org/officeDocument/2006/relationships/hyperlink" Target="https://colab.research.google.com/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developers.google.com/machine-learning/crash-course" TargetMode="External" Id="rId1" /><Relationship Type="http://schemas.openxmlformats.org/officeDocument/2006/relationships/hyperlink" Target="https://colab.research.google.com/" TargetMode="External" Id="rId2" /><Relationship Type="http://schemas.openxmlformats.org/officeDocument/2006/relationships/hyperlink" Target="https://developers.google.com/machine-learning/crash-course" TargetMode="External" Id="rId3" /><Relationship Type="http://schemas.openxmlformats.org/officeDocument/2006/relationships/hyperlink" Target="https://colab.research.google.com/" TargetMode="External" Id="rId4" /><Relationship Type="http://schemas.openxmlformats.org/officeDocument/2006/relationships/hyperlink" Target="https://colab.research.google.com/" TargetMode="External" Id="rId5" /><Relationship Type="http://schemas.openxmlformats.org/officeDocument/2006/relationships/hyperlink" Target="https://scikit-learn.org/stable/user_guide.html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scikit-learn.org/stable/user_guide.html" TargetMode="External" Id="rId1" /><Relationship Type="http://schemas.openxmlformats.org/officeDocument/2006/relationships/hyperlink" Target="https://scikit-learn.org/stable/modules/clustering.html" TargetMode="External" Id="rId2" /><Relationship Type="http://schemas.openxmlformats.org/officeDocument/2006/relationships/hyperlink" Target="https://colab.research.google.com/" TargetMode="External" Id="rId3" /><Relationship Type="http://schemas.openxmlformats.org/officeDocument/2006/relationships/hyperlink" Target="https://scikit-learn.org/stable/user_guide.html" TargetMode="External" Id="rId4" /><Relationship Type="http://schemas.openxmlformats.org/officeDocument/2006/relationships/hyperlink" Target="https://colab.research.google.com/" TargetMode="External" Id="rId5" /><Relationship Type="http://schemas.openxmlformats.org/officeDocument/2006/relationships/hyperlink" Target="https://scikit-learn.org/stable/user_guide.html" TargetMode="External" Id="rId6" /><Relationship Type="http://schemas.openxmlformats.org/officeDocument/2006/relationships/hyperlink" Target="https://scikit-learn.org/stable/user_guide.html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archive.ics.uci.edu/dataset/278/emg+dataset+in+lower+limb" TargetMode="External" Id="rId1" /><Relationship Type="http://schemas.openxmlformats.org/officeDocument/2006/relationships/hyperlink" Target="https://scikit-learn.org/stable/user_guide.html" TargetMode="External" Id="rId2" /><Relationship Type="http://schemas.openxmlformats.org/officeDocument/2006/relationships/hyperlink" Target="https://colab.research.google.com/" TargetMode="External" Id="rId3" /><Relationship Type="http://schemas.openxmlformats.org/officeDocument/2006/relationships/hyperlink" Target="https://scikit-learn.org/stable/user_guide.html" TargetMode="External" Id="rId4" /><Relationship Type="http://schemas.openxmlformats.org/officeDocument/2006/relationships/hyperlink" Target="https://scikit-learn.org/stable/user_guide.html" TargetMode="External" Id="rId5" /><Relationship Type="http://schemas.openxmlformats.org/officeDocument/2006/relationships/hyperlink" Target="https://colab.research.google.com/" TargetMode="External" Id="rId6" /><Relationship Type="http://schemas.openxmlformats.org/officeDocument/2006/relationships/hyperlink" Target="https://archive.ics.uci.edu/dataset/278/emg+dataset+in+lower+limb" TargetMode="External" Id="rId7" /><Relationship Type="http://schemas.openxmlformats.org/officeDocument/2006/relationships/hyperlink" Target="https://colab.research.google.com/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link.springer.com/article/10.3758/s13428-020-01516-y" TargetMode="External" Id="rId1" /><Relationship Type="http://schemas.openxmlformats.org/officeDocument/2006/relationships/hyperlink" Target="https://physionet.org/content/eegmmidb/1.0.0/" TargetMode="External" Id="rId2" /><Relationship Type="http://schemas.openxmlformats.org/officeDocument/2006/relationships/hyperlink" Target="https://colab.research.google.com/" TargetMode="External" Id="rId3" /><Relationship Type="http://schemas.openxmlformats.org/officeDocument/2006/relationships/hyperlink" Target="https://link.springer.com/article/10.3758/s13428-020-01516-y" TargetMode="External" Id="rId4" /><Relationship Type="http://schemas.openxmlformats.org/officeDocument/2006/relationships/hyperlink" Target="https://colab.research.google.com/" TargetMode="External" Id="rId5" /><Relationship Type="http://schemas.openxmlformats.org/officeDocument/2006/relationships/hyperlink" Target="https://physionet.org/content/eegmmidb/1.0.0/" TargetMode="External" Id="rId6" /><Relationship Type="http://schemas.openxmlformats.org/officeDocument/2006/relationships/hyperlink" Target="https://colab.research.google.com/" TargetMode="External" Id="rId7" /><Relationship Type="http://schemas.openxmlformats.org/officeDocument/2006/relationships/hyperlink" Target="https://mne.tools/stable/auto_tutorials/intro/10_overview.html" TargetMode="External" Id="rId8" /><Relationship Type="http://schemas.openxmlformats.org/officeDocument/2006/relationships/hyperlink" Target="https://archive.ics.uci.edu/dataset/278/emg+dataset+in+lower+limb" TargetMode="External" Id="rId9" /></Relationships>
</file>

<file path=xl/worksheets/_rels/sheet7.xml.rels><Relationships xmlns="http://schemas.openxmlformats.org/package/2006/relationships"><Relationship Type="http://schemas.openxmlformats.org/officeDocument/2006/relationships/hyperlink" Target="https://physionet.org/content/mitdb/1.0.0/" TargetMode="External" Id="rId1" /><Relationship Type="http://schemas.openxmlformats.org/officeDocument/2006/relationships/hyperlink" Target="https://physionet.org/content/bidmc/1.0.0/" TargetMode="External" Id="rId2" /><Relationship Type="http://schemas.openxmlformats.org/officeDocument/2006/relationships/hyperlink" Target="https://colab.research.google.com/" TargetMode="External" Id="rId3" /><Relationship Type="http://schemas.openxmlformats.org/officeDocument/2006/relationships/hyperlink" Target="https://physionet.org/content/mitdb/1.0.0/" TargetMode="External" Id="rId4" /><Relationship Type="http://schemas.openxmlformats.org/officeDocument/2006/relationships/hyperlink" Target="https://colab.research.google.com/" TargetMode="External" Id="rId5" /><Relationship Type="http://schemas.openxmlformats.org/officeDocument/2006/relationships/hyperlink" Target="https://physionet.org/content/mitdb/1.0.0/" TargetMode="External" Id="rId6" /><Relationship Type="http://schemas.openxmlformats.org/officeDocument/2006/relationships/hyperlink" Target="https://colab.research.google.com/" TargetMode="External" Id="rId7" /><Relationship Type="http://schemas.openxmlformats.org/officeDocument/2006/relationships/hyperlink" Target="https://physionet.org/content/bidmc/1.0.0/" TargetMode="External" Id="rId8" /><Relationship Type="http://schemas.openxmlformats.org/officeDocument/2006/relationships/hyperlink" Target="https://physionet.org/content/mitdb/1.0.0/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https://wiki.cancerimagingarchive.net/display/Public/Collections" TargetMode="External" Id="rId1" /><Relationship Type="http://schemas.openxmlformats.org/officeDocument/2006/relationships/hyperlink" Target="https://www.slicer.org/" TargetMode="External" Id="rId2" /><Relationship Type="http://schemas.openxmlformats.org/officeDocument/2006/relationships/hyperlink" Target="https://www.kaggle.com/datasets/paultimothymooney/chest-xray-pneumonia" TargetMode="External" Id="rId3" /><Relationship Type="http://schemas.openxmlformats.org/officeDocument/2006/relationships/hyperlink" Target="https://www.nature.com/articles/sdata2017124" TargetMode="External" Id="rId4" /><Relationship Type="http://schemas.openxmlformats.org/officeDocument/2006/relationships/hyperlink" Target="https://www.slicer.org/" TargetMode="External" Id="rId5" /><Relationship Type="http://schemas.openxmlformats.org/officeDocument/2006/relationships/hyperlink" Target="https://wiki.cancerimagingarchive.net/display/Public/Collections" TargetMode="External" Id="rId6" /><Relationship Type="http://schemas.openxmlformats.org/officeDocument/2006/relationships/hyperlink" Target="https://www.nature.com/articles/sdata2017124" TargetMode="External" Id="rId7" /><Relationship Type="http://schemas.openxmlformats.org/officeDocument/2006/relationships/hyperlink" Target="https://www.kaggle.com/datasets/paultimothymooney/chest-xray-pneumonia" TargetMode="External" Id="rId8" /><Relationship Type="http://schemas.openxmlformats.org/officeDocument/2006/relationships/hyperlink" Target="https://www.slicer.org/" TargetMode="External" Id="rId9" /></Relationships>
</file>

<file path=xl/worksheets/_rels/sheet9.xml.rels><Relationships xmlns="http://schemas.openxmlformats.org/package/2006/relationships"><Relationship Type="http://schemas.openxmlformats.org/officeDocument/2006/relationships/hyperlink" Target="https://developers.google.com/machine-learning/crash-course" TargetMode="External" Id="rId1" /><Relationship Type="http://schemas.openxmlformats.org/officeDocument/2006/relationships/hyperlink" Target="https://playground.tensorflow.org/" TargetMode="External" Id="rId2" /><Relationship Type="http://schemas.openxmlformats.org/officeDocument/2006/relationships/hyperlink" Target="https://scikit-learn.org/stable/modules/neural_networks_supervised.html" TargetMode="External" Id="rId3" /><Relationship Type="http://schemas.openxmlformats.org/officeDocument/2006/relationships/hyperlink" Target="https://developers.google.com/machine-learning/crash-course" TargetMode="External" Id="rId4" /><Relationship Type="http://schemas.openxmlformats.org/officeDocument/2006/relationships/hyperlink" Target="https://developers.google.com/machine-learning/crash-course" TargetMode="External" Id="rId5" /><Relationship Type="http://schemas.openxmlformats.org/officeDocument/2006/relationships/hyperlink" Target="https://playground.tensorflow.org/" TargetMode="External" Id="rId6" /><Relationship Type="http://schemas.openxmlformats.org/officeDocument/2006/relationships/hyperlink" Target="https://playground.tensorflow.org/" TargetMode="External" Id="rId7" /><Relationship Type="http://schemas.openxmlformats.org/officeDocument/2006/relationships/hyperlink" Target="https://scikit-learn.org/stable/modules/neural_networks_supervised.html" TargetMode="External" Id="rId8" /><Relationship Type="http://schemas.openxmlformats.org/officeDocument/2006/relationships/hyperlink" Target="https://developers.google.com/machine-learning/crash-course" TargetMode="External" Id="rId9" /></Relationships>
</file>

<file path=xl/worksheets/_rels/sheet10.xml.rels><Relationships xmlns="http://schemas.openxmlformats.org/package/2006/relationships"><Relationship Type="http://schemas.openxmlformats.org/officeDocument/2006/relationships/hyperlink" Target="https://colab.research.google.com/" TargetMode="External" Id="rId1" /><Relationship Type="http://schemas.openxmlformats.org/officeDocument/2006/relationships/hyperlink" Target="https://scikit-learn.org/stable/modules/neural_networks_supervised.html" TargetMode="External" Id="rId2" /><Relationship Type="http://schemas.openxmlformats.org/officeDocument/2006/relationships/hyperlink" Target="https://physionet.org/content/mitdb/1.0.0/" TargetMode="External" Id="rId3" /><Relationship Type="http://schemas.openxmlformats.org/officeDocument/2006/relationships/hyperlink" Target="https://scikit-learn.org/stable/modules/neural_networks_supervised.html" TargetMode="External" Id="rId4" /><Relationship Type="http://schemas.openxmlformats.org/officeDocument/2006/relationships/hyperlink" Target="https://scikit-learn.org/stable/modules/neural_networks_supervised.html" TargetMode="External" Id="rId5" /><Relationship Type="http://schemas.openxmlformats.org/officeDocument/2006/relationships/hyperlink" Target="https://colab.research.google.com/" TargetMode="External" Id="rId6" /><Relationship Type="http://schemas.openxmlformats.org/officeDocument/2006/relationships/hyperlink" Target="https://physionet.org/content/mitdb/1.0.0/" TargetMode="External" Id="rId7" /><Relationship Type="http://schemas.openxmlformats.org/officeDocument/2006/relationships/hyperlink" Target="https://colab.research.google.com/" TargetMode="External" Id="rId8" /><Relationship Type="http://schemas.openxmlformats.org/officeDocument/2006/relationships/hyperlink" Target="https://physionet.org/content/mitdb/1.0.0/" TargetMode="External" Id="rId9" /></Relationships>
</file>

<file path=xl/worksheets/_rels/sheet11.xml.rels><Relationships xmlns="http://schemas.openxmlformats.org/package/2006/relationships"><Relationship Type="http://schemas.openxmlformats.org/officeDocument/2006/relationships/hyperlink" Target="https://cs231n.github.io/convolutional-networks/" TargetMode="External" Id="rId1" /><Relationship Type="http://schemas.openxmlformats.org/officeDocument/2006/relationships/hyperlink" Target="https://www.tensorflow.org/tutorials/images/cnn" TargetMode="External" Id="rId2" /><Relationship Type="http://schemas.openxmlformats.org/officeDocument/2006/relationships/hyperlink" Target="https://colab.research.google.com/" TargetMode="External" Id="rId3" /><Relationship Type="http://schemas.openxmlformats.org/officeDocument/2006/relationships/hyperlink" Target="https://cs231n.github.io/convolutional-networks/" TargetMode="External" Id="rId4" /><Relationship Type="http://schemas.openxmlformats.org/officeDocument/2006/relationships/hyperlink" Target="https://cs231n.github.io/convolutional-networks/" TargetMode="External" Id="rId5" /><Relationship Type="http://schemas.openxmlformats.org/officeDocument/2006/relationships/hyperlink" Target="https://www.tensorflow.org/tutorials/images/cnn" TargetMode="External" Id="rId6" /><Relationship Type="http://schemas.openxmlformats.org/officeDocument/2006/relationships/hyperlink" Target="https://www.tensorflow.org/tutorials/images/cnn" TargetMode="External" Id="rId7" /><Relationship Type="http://schemas.openxmlformats.org/officeDocument/2006/relationships/hyperlink" Target="https://www.tensorflow.org/tutorials/images/cnn" TargetMode="External" Id="rId8" /><Relationship Type="http://schemas.openxmlformats.org/officeDocument/2006/relationships/hyperlink" Target="https://cs231n.github.io/convolutional-networks/" TargetMode="External" Id="rId9" /><Relationship Type="http://schemas.openxmlformats.org/officeDocument/2006/relationships/hyperlink" Target="https://www.kaggle.com/datasets/paultimothymooney/chest-xray-pneumonia" TargetMode="External" Id="rId10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kaggle.com/datasets/paultimothymooney/chest-xray-pneumonia" TargetMode="External" Id="rId1" /><Relationship Type="http://schemas.openxmlformats.org/officeDocument/2006/relationships/hyperlink" Target="https://www.tensorflow.org/tutorials/images/cnn" TargetMode="External" Id="rId2" /><Relationship Type="http://schemas.openxmlformats.org/officeDocument/2006/relationships/hyperlink" Target="https://wiki.cancerimagingarchive.net/display/Public/Collections" TargetMode="External" Id="rId3" /><Relationship Type="http://schemas.openxmlformats.org/officeDocument/2006/relationships/hyperlink" Target="https://www.kaggle.com/datasets/paultimothymooney/chest-xray-pneumonia" TargetMode="External" Id="rId4" /><Relationship Type="http://schemas.openxmlformats.org/officeDocument/2006/relationships/hyperlink" Target="https://www.tensorflow.org/tutorials/images/cnn" TargetMode="External" Id="rId5" /><Relationship Type="http://schemas.openxmlformats.org/officeDocument/2006/relationships/hyperlink" Target="https://www.kaggle.com/datasets/paultimothymooney/chest-xray-pneumonia" TargetMode="External" Id="rId6" /><Relationship Type="http://schemas.openxmlformats.org/officeDocument/2006/relationships/hyperlink" Target="https://www.kaggle.com/datasets/paultimothymooney/chest-xray-pneumonia" TargetMode="External" Id="rId7" /><Relationship Type="http://schemas.openxmlformats.org/officeDocument/2006/relationships/hyperlink" Target="https://www.kaggle.com/datasets/paultimothymooney/chest-xray-pneumonia" TargetMode="External" Id="rId8" /><Relationship Type="http://schemas.openxmlformats.org/officeDocument/2006/relationships/hyperlink" Target="https://www.nature.com/articles/sdata2017124" TargetMode="External" Id="rId9" /></Relationships>
</file>

<file path=xl/worksheets/_rels/sheet13.xml.rels><Relationships xmlns="http://schemas.openxmlformats.org/package/2006/relationships"><Relationship Type="http://schemas.openxmlformats.org/officeDocument/2006/relationships/hyperlink" Target="https://arxiv.org/abs/1505.04597" TargetMode="External" Id="rId1" /><Relationship Type="http://schemas.openxmlformats.org/officeDocument/2006/relationships/hyperlink" Target="https://www.kaggle.com/datasets/mateuszbuda/lgg-mri-segmentation" TargetMode="External" Id="rId2" /><Relationship Type="http://schemas.openxmlformats.org/officeDocument/2006/relationships/hyperlink" Target="https://www.tensorflow.org/tutorials/images/segmentation" TargetMode="External" Id="rId3" /><Relationship Type="http://schemas.openxmlformats.org/officeDocument/2006/relationships/hyperlink" Target="https://arxiv.org/abs/1505.04597" TargetMode="External" Id="rId4" /><Relationship Type="http://schemas.openxmlformats.org/officeDocument/2006/relationships/hyperlink" Target="https://arxiv.org/abs/1505.04597" TargetMode="External" Id="rId5" /><Relationship Type="http://schemas.openxmlformats.org/officeDocument/2006/relationships/hyperlink" Target="https://www.kaggle.com/datasets/mateuszbuda/lgg-mri-segmentation" TargetMode="External" Id="rId6" /><Relationship Type="http://schemas.openxmlformats.org/officeDocument/2006/relationships/hyperlink" Target="https://www.kaggle.com/datasets/mateuszbuda/lgg-mri-segmentation" TargetMode="External" Id="rId7" /><Relationship Type="http://schemas.openxmlformats.org/officeDocument/2006/relationships/hyperlink" Target="https://www.kaggle.com/datasets/mateuszbuda/lgg-mri-segmentation" TargetMode="External" Id="rId8" /><Relationship Type="http://schemas.openxmlformats.org/officeDocument/2006/relationships/hyperlink" Target="https://arxiv.org/abs/1505.04597" TargetMode="External" Id="rId9" /><Relationship Type="http://schemas.openxmlformats.org/officeDocument/2006/relationships/hyperlink" Target="https://monai.io/" TargetMode="External" Id="rId10" /></Relationships>
</file>

<file path=xl/worksheets/_rels/sheet14.xml.rels><Relationships xmlns="http://schemas.openxmlformats.org/package/2006/relationships"><Relationship Type="http://schemas.openxmlformats.org/officeDocument/2006/relationships/hyperlink" Target="https://openstax.org/books/university-physics-volume-1/pages/12-3-stress-strain-and-elastic-modulus" TargetMode="External" Id="rId1" /><Relationship Type="http://schemas.openxmlformats.org/officeDocument/2006/relationships/hyperlink" Target="https://openstax.org/books/university-physics-volume-1/pages/12-4-elasticity-and-plasticity" TargetMode="External" Id="rId2" /><Relationship Type="http://schemas.openxmlformats.org/officeDocument/2006/relationships/hyperlink" Target="https://opensimconfluence.atlassian.net/wiki/spaces/OpenSim/pages/53088700/Tutorial+1+-+Intro+to+Musculoskeletal+Modeling" TargetMode="External" Id="rId3" /><Relationship Type="http://schemas.openxmlformats.org/officeDocument/2006/relationships/hyperlink" Target="https://opensimconfluence.atlassian.net/wiki/spaces/OpenSim/pages/53088700/Tutorial+1+-+Intro+to+Musculoskeletal+Modeling" TargetMode="External" Id="rId4" /><Relationship Type="http://schemas.openxmlformats.org/officeDocument/2006/relationships/hyperlink" Target="https://openstax.org/books/university-physics-volume-1/pages/12-3-stress-strain-and-elastic-modulus" TargetMode="External" Id="rId5" /><Relationship Type="http://schemas.openxmlformats.org/officeDocument/2006/relationships/hyperlink" Target="https://openstax.org/books/university-physics-volume-1/pages/12-3-stress-strain-and-elastic-modulus" TargetMode="External" Id="rId6" /><Relationship Type="http://schemas.openxmlformats.org/officeDocument/2006/relationships/hyperlink" Target="https://openstax.org/books/university-physics-volume-1/pages/12-3-stress-strain-and-elastic-modulus" TargetMode="External" Id="rId7" /><Relationship Type="http://schemas.openxmlformats.org/officeDocument/2006/relationships/hyperlink" Target="https://openstax.org/books/university-physics-volume-1/pages/12-3-stress-strain-and-elastic-modulus" TargetMode="External" Id="rId8" /><Relationship Type="http://schemas.openxmlformats.org/officeDocument/2006/relationships/hyperlink" Target="https://openstax.org/books/university-physics-volume-1/pages/12-4-elasticity-and-plasticity" TargetMode="External" Id="rId9" /><Relationship Type="http://schemas.openxmlformats.org/officeDocument/2006/relationships/hyperlink" Target="https://simtk.org/projects/opensim" TargetMode="External" Id="rId10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sciencedirect.com/science/article/abs/pii/S2214785322002784" TargetMode="External" Id="rId1" /><Relationship Type="http://schemas.openxmlformats.org/officeDocument/2006/relationships/hyperlink" Target="https://wiki.freecad.org/FEM_tutorial" TargetMode="External" Id="rId2" /><Relationship Type="http://schemas.openxmlformats.org/officeDocument/2006/relationships/hyperlink" Target="https://doi.org/10.3390/computation14010018" TargetMode="External" Id="rId3" /><Relationship Type="http://schemas.openxmlformats.org/officeDocument/2006/relationships/hyperlink" Target="https://openstax.org/books/university-physics-volume-1/pages/12-3-stress-strain-and-elastic-modulus" TargetMode="External" Id="rId4" /><Relationship Type="http://schemas.openxmlformats.org/officeDocument/2006/relationships/hyperlink" Target="https://www.sciencedirect.com/science/article/abs/pii/S2214785322002784" TargetMode="External" Id="rId5" /><Relationship Type="http://schemas.openxmlformats.org/officeDocument/2006/relationships/hyperlink" Target="https://gmsh.info/" TargetMode="External" Id="rId6" /><Relationship Type="http://schemas.openxmlformats.org/officeDocument/2006/relationships/hyperlink" Target="https://wiki.freecad.org/FEM_tutorial" TargetMode="External" Id="rId7" /><Relationship Type="http://schemas.openxmlformats.org/officeDocument/2006/relationships/hyperlink" Target="https://derekbruff.org/vanderbilt-cft-teaching-guides-archive/blooms-taxonomy/" TargetMode="External" Id="rId8" /></Relationships>
</file>

<file path=xl/worksheets/_rels/sheet16.xml.rels><Relationships xmlns="http://schemas.openxmlformats.org/package/2006/relationships"><Relationship Type="http://schemas.openxmlformats.org/officeDocument/2006/relationships/hyperlink" Target="https://derekbruff.org/vanderbilt-cft-teaching-guides-archive/blooms-taxonomy/" TargetMode="External" Id="rId1" /><Relationship Type="http://schemas.openxmlformats.org/officeDocument/2006/relationships/hyperlink" Target="https://en.wikipedia.org/wiki/Biomechatronics" TargetMode="External" Id="rId2" /><Relationship Type="http://schemas.openxmlformats.org/officeDocument/2006/relationships/hyperlink" Target="https://pmc.ncbi.nlm.nih.gov/articles/PMC9326577/" TargetMode="External" Id="rId3" /><Relationship Type="http://schemas.openxmlformats.org/officeDocument/2006/relationships/hyperlink" Target="https://developers.google.com/machine-learning/crash-course" TargetMode="External" Id="rId4" /><Relationship Type="http://schemas.openxmlformats.org/officeDocument/2006/relationships/hyperlink" Target="https://scikit-learn.org/stable/user_guide.html" TargetMode="External" Id="rId5" /><Relationship Type="http://schemas.openxmlformats.org/officeDocument/2006/relationships/hyperlink" Target="https://scikit-learn.org/stable/modules/clustering.html" TargetMode="External" Id="rId6" /><Relationship Type="http://schemas.openxmlformats.org/officeDocument/2006/relationships/hyperlink" Target="https://scikit-learn.org/stable/modules/neural_networks_supervised.html" TargetMode="External" Id="rId7" /><Relationship Type="http://schemas.openxmlformats.org/officeDocument/2006/relationships/hyperlink" Target="https://colab.research.google.com/" TargetMode="External" Id="rId8" /><Relationship Type="http://schemas.openxmlformats.org/officeDocument/2006/relationships/hyperlink" Target="https://physionet.org/content/mitdb/1.0.0/" TargetMode="External" Id="rId9" /><Relationship Type="http://schemas.openxmlformats.org/officeDocument/2006/relationships/hyperlink" Target="https://physionet.org/content/bidmc/1.0.0/" TargetMode="External" Id="rId10" /><Relationship Type="http://schemas.openxmlformats.org/officeDocument/2006/relationships/hyperlink" Target="https://physionet.org/content/eegmmidb/1.0.0/" TargetMode="External" Id="rId11" /><Relationship Type="http://schemas.openxmlformats.org/officeDocument/2006/relationships/hyperlink" Target="https://archive.ics.uci.edu/dataset/278/emg+dataset+in+lower+limb" TargetMode="External" Id="rId12" /><Relationship Type="http://schemas.openxmlformats.org/officeDocument/2006/relationships/hyperlink" Target="https://link.springer.com/article/10.3758/s13428-020-01516-y" TargetMode="External" Id="rId13" /><Relationship Type="http://schemas.openxmlformats.org/officeDocument/2006/relationships/hyperlink" Target="https://pypi.org/project/neurokit2/" TargetMode="External" Id="rId14" /><Relationship Type="http://schemas.openxmlformats.org/officeDocument/2006/relationships/hyperlink" Target="https://mne.tools/stable/auto_tutorials/intro/10_overview.html" TargetMode="External" Id="rId15" /><Relationship Type="http://schemas.openxmlformats.org/officeDocument/2006/relationships/hyperlink" Target="https://wiki.cancerimagingarchive.net/display/Public/Collections" TargetMode="External" Id="rId16" /><Relationship Type="http://schemas.openxmlformats.org/officeDocument/2006/relationships/hyperlink" Target="https://www.nature.com/articles/sdata2017124" TargetMode="External" Id="rId17" /><Relationship Type="http://schemas.openxmlformats.org/officeDocument/2006/relationships/hyperlink" Target="https://www.slicer.org/" TargetMode="External" Id="rId18" /><Relationship Type="http://schemas.openxmlformats.org/officeDocument/2006/relationships/hyperlink" Target="https://www.kaggle.com/datasets/paultimothymooney/chest-xray-pneumonia" TargetMode="External" Id="rId19" /><Relationship Type="http://schemas.openxmlformats.org/officeDocument/2006/relationships/hyperlink" Target="https://playground.tensorflow.org/" TargetMode="External" Id="rId20" /><Relationship Type="http://schemas.openxmlformats.org/officeDocument/2006/relationships/hyperlink" Target="https://cs231n.github.io/convolutional-networks/" TargetMode="External" Id="rId21" /><Relationship Type="http://schemas.openxmlformats.org/officeDocument/2006/relationships/hyperlink" Target="https://www.tensorflow.org/tutorials/images/cnn" TargetMode="External" Id="rId22" /><Relationship Type="http://schemas.openxmlformats.org/officeDocument/2006/relationships/hyperlink" Target="https://www.tensorflow.org/tutorials/images/segmentation" TargetMode="External" Id="rId23" /><Relationship Type="http://schemas.openxmlformats.org/officeDocument/2006/relationships/hyperlink" Target="https://arxiv.org/abs/1505.04597" TargetMode="External" Id="rId24" /><Relationship Type="http://schemas.openxmlformats.org/officeDocument/2006/relationships/hyperlink" Target="https://www.kaggle.com/datasets/mateuszbuda/lgg-mri-segmentation" TargetMode="External" Id="rId25" /><Relationship Type="http://schemas.openxmlformats.org/officeDocument/2006/relationships/hyperlink" Target="https://github.com/mateuszbuda/brain-segmentation-pytorch" TargetMode="External" Id="rId26" /><Relationship Type="http://schemas.openxmlformats.org/officeDocument/2006/relationships/hyperlink" Target="https://monai.io/" TargetMode="External" Id="rId27" /><Relationship Type="http://schemas.openxmlformats.org/officeDocument/2006/relationships/hyperlink" Target="https://openstax.org/books/university-physics-volume-1/pages/12-3-stress-strain-and-elastic-modulus" TargetMode="External" Id="rId28" /><Relationship Type="http://schemas.openxmlformats.org/officeDocument/2006/relationships/hyperlink" Target="https://openstax.org/books/university-physics-volume-1/pages/12-4-elasticity-and-plasticity" TargetMode="External" Id="rId29" /><Relationship Type="http://schemas.openxmlformats.org/officeDocument/2006/relationships/hyperlink" Target="https://simtk.org/projects/opensim" TargetMode="External" Id="rId30" /><Relationship Type="http://schemas.openxmlformats.org/officeDocument/2006/relationships/hyperlink" Target="https://opensimconfluence.atlassian.net/wiki/spaces/OpenSim/pages/53088700/Tutorial+1+-+Intro+to+Musculoskeletal+Modeling" TargetMode="External" Id="rId31" /><Relationship Type="http://schemas.openxmlformats.org/officeDocument/2006/relationships/hyperlink" Target="https://gmsh.info/" TargetMode="External" Id="rId32" /><Relationship Type="http://schemas.openxmlformats.org/officeDocument/2006/relationships/hyperlink" Target="https://wiki.freecad.org/FEM_tutorial" TargetMode="External" Id="rId33" /><Relationship Type="http://schemas.openxmlformats.org/officeDocument/2006/relationships/hyperlink" Target="https://www.sciencedirect.com/science/article/abs/pii/S2214785322002784" TargetMode="External" Id="rId34" /><Relationship Type="http://schemas.openxmlformats.org/officeDocument/2006/relationships/hyperlink" Target="https://doi.org/10.3390/computation14010018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0" customWidth="1" min="3" max="3"/>
    <col width="14" customWidth="1" min="4" max="4"/>
  </cols>
  <sheetData>
    <row r="1" ht="30" customHeight="1">
      <c r="A1" s="1" t="inlineStr">
        <is>
          <t>Planificación de clases virtuales: Sistemas Biomecatrónicos (14 semanas)</t>
        </is>
      </c>
    </row>
    <row r="2">
      <c r="A2" s="2" t="inlineStr">
        <is>
          <t>ESPOL, VIRTUAL PAO 2 2026. Cada sesión dura 105 minutos y sigue la estructura antes, durante y después. Nivel de Bloom predominante = el de mayor peso de la sesión.</t>
        </is>
      </c>
    </row>
    <row r="4">
      <c r="A4" s="3" t="inlineStr">
        <is>
          <t>Semana</t>
        </is>
      </c>
      <c r="B4" s="3" t="inlineStr">
        <is>
          <t>Tema de la sesión</t>
        </is>
      </c>
      <c r="C4" s="3" t="inlineStr">
        <is>
          <t>Nivel de Bloom predominante</t>
        </is>
      </c>
      <c r="D4" s="3" t="inlineStr">
        <is>
          <t>Duración (min)</t>
        </is>
      </c>
    </row>
    <row r="5">
      <c r="A5" s="4" t="inlineStr">
        <is>
          <t>Semana 1</t>
        </is>
      </c>
      <c r="B5" s="5" t="inlineStr">
        <is>
          <t>Introducción a los sistemas biomecatrónicos</t>
        </is>
      </c>
      <c r="C5" s="6" t="inlineStr">
        <is>
          <t>Comprender</t>
        </is>
      </c>
      <c r="D5" s="7">
        <f>'Semana 1'!B5</f>
        <v/>
      </c>
    </row>
    <row r="6">
      <c r="A6" s="4" t="inlineStr">
        <is>
          <t>Semana 2</t>
        </is>
      </c>
      <c r="B6" s="5" t="inlineStr">
        <is>
          <t>Introducción a machine learning</t>
        </is>
      </c>
      <c r="C6" s="6" t="inlineStr">
        <is>
          <t>Comprender</t>
        </is>
      </c>
      <c r="D6" s="7">
        <f>'Semana 2'!B5</f>
        <v/>
      </c>
    </row>
    <row r="7">
      <c r="A7" s="4" t="inlineStr">
        <is>
          <t>Semana 3</t>
        </is>
      </c>
      <c r="B7" s="5" t="inlineStr">
        <is>
          <t>Machine learning supervisado y no supervisado</t>
        </is>
      </c>
      <c r="C7" s="6" t="inlineStr">
        <is>
          <t>Analizar</t>
        </is>
      </c>
      <c r="D7" s="7">
        <f>'Semana 3'!B5</f>
        <v/>
      </c>
    </row>
    <row r="8">
      <c r="A8" s="4" t="inlineStr">
        <is>
          <t>Semana 4</t>
        </is>
      </c>
      <c r="B8" s="5" t="inlineStr">
        <is>
          <t>Algoritmos de ML en biomedicina: clasificación, regresión y modelos no supervisados</t>
        </is>
      </c>
      <c r="C8" s="6" t="inlineStr">
        <is>
          <t>Aplicar</t>
        </is>
      </c>
      <c r="D8" s="7">
        <f>'Semana 4'!B5</f>
        <v/>
      </c>
    </row>
    <row r="9">
      <c r="A9" s="4" t="inlineStr">
        <is>
          <t>Semana 5</t>
        </is>
      </c>
      <c r="B9" s="5" t="inlineStr">
        <is>
          <t>Práctica con señales biomédicas: EMG y EEG</t>
        </is>
      </c>
      <c r="C9" s="6" t="inlineStr">
        <is>
          <t>Aplicar</t>
        </is>
      </c>
      <c r="D9" s="7">
        <f>'Semana 5'!B5</f>
        <v/>
      </c>
    </row>
    <row r="10">
      <c r="A10" s="4" t="inlineStr">
        <is>
          <t>Semana 6</t>
        </is>
      </c>
      <c r="B10" s="5" t="inlineStr">
        <is>
          <t>Práctica con señales biomédicas: ECG (EKG) y PPG</t>
        </is>
      </c>
      <c r="C10" s="6" t="inlineStr">
        <is>
          <t>Aplicar</t>
        </is>
      </c>
      <c r="D10" s="7">
        <f>'Semana 6'!B5</f>
        <v/>
      </c>
    </row>
    <row r="11">
      <c r="A11" s="4" t="inlineStr">
        <is>
          <t>Semana 7</t>
        </is>
      </c>
      <c r="B11" s="5" t="inlineStr">
        <is>
          <t>Imágenes médicas: rayos X, TAC, ecografía, resonancia magnética y PET</t>
        </is>
      </c>
      <c r="C11" s="6" t="inlineStr">
        <is>
          <t>Analizar</t>
        </is>
      </c>
      <c r="D11" s="7">
        <f>'Semana 7'!B5</f>
        <v/>
      </c>
    </row>
    <row r="12">
      <c r="A12" s="4" t="inlineStr">
        <is>
          <t>Semana 8</t>
        </is>
      </c>
      <c r="B12" s="5" t="inlineStr">
        <is>
          <t>Introducción al deep learning y a las redes neuronales</t>
        </is>
      </c>
      <c r="C12" s="6" t="inlineStr">
        <is>
          <t>Comprender</t>
        </is>
      </c>
      <c r="D12" s="7">
        <f>'Semana 8'!B5</f>
        <v/>
      </c>
    </row>
    <row r="13">
      <c r="A13" s="4" t="inlineStr">
        <is>
          <t>Semana 9</t>
        </is>
      </c>
      <c r="B13" s="5" t="inlineStr">
        <is>
          <t>Redes neuronales aplicadas a señales biomédicas</t>
        </is>
      </c>
      <c r="C13" s="6" t="inlineStr">
        <is>
          <t>Aplicar</t>
        </is>
      </c>
      <c r="D13" s="7">
        <f>'Semana 9'!B5</f>
        <v/>
      </c>
    </row>
    <row r="14">
      <c r="A14" s="4" t="inlineStr">
        <is>
          <t>Semana 10</t>
        </is>
      </c>
      <c r="B14" s="5" t="inlineStr">
        <is>
          <t>Redes neuronales convolucionales (CNN)</t>
        </is>
      </c>
      <c r="C14" s="6" t="inlineStr">
        <is>
          <t>Comprender</t>
        </is>
      </c>
      <c r="D14" s="7">
        <f>'Semana 10'!B5</f>
        <v/>
      </c>
    </row>
    <row r="15">
      <c r="A15" s="4" t="inlineStr">
        <is>
          <t>Semana 11</t>
        </is>
      </c>
      <c r="B15" s="5" t="inlineStr">
        <is>
          <t>Clasificación de tumores y patologías con redes convolucionales</t>
        </is>
      </c>
      <c r="C15" s="6" t="inlineStr">
        <is>
          <t>Evaluar</t>
        </is>
      </c>
      <c r="D15" s="7">
        <f>'Semana 11'!B5</f>
        <v/>
      </c>
    </row>
    <row r="16">
      <c r="A16" s="4" t="inlineStr">
        <is>
          <t>Semana 12</t>
        </is>
      </c>
      <c r="B16" s="5" t="inlineStr">
        <is>
          <t>Segmentación de tumores cerebrales con la arquitectura U-Net</t>
        </is>
      </c>
      <c r="C16" s="6" t="inlineStr">
        <is>
          <t>Aplicar</t>
        </is>
      </c>
      <c r="D16" s="7">
        <f>'Semana 12'!B5</f>
        <v/>
      </c>
    </row>
    <row r="17">
      <c r="A17" s="4" t="inlineStr">
        <is>
          <t>Semana 13</t>
        </is>
      </c>
      <c r="B17" s="5" t="inlineStr">
        <is>
          <t>Biomecánica del movimiento y esfuerzos de tensión y compresión en huesos</t>
        </is>
      </c>
      <c r="C17" s="6" t="inlineStr">
        <is>
          <t>Aplicar</t>
        </is>
      </c>
      <c r="D17" s="7">
        <f>'Semana 13'!B5</f>
        <v/>
      </c>
    </row>
    <row r="18">
      <c r="A18" s="4" t="inlineStr">
        <is>
          <t>Semana 14</t>
        </is>
      </c>
      <c r="B18" s="5" t="inlineStr">
        <is>
          <t>Análisis por elementos finitos del fémur y cierre del curso</t>
        </is>
      </c>
      <c r="C18" s="6" t="inlineStr">
        <is>
          <t>Crear</t>
        </is>
      </c>
      <c r="D18" s="7">
        <f>'Semana 14'!B5</f>
        <v/>
      </c>
    </row>
    <row r="19">
      <c r="C19" s="4" t="inlineStr">
        <is>
          <t>Total del curso (min)</t>
        </is>
      </c>
      <c r="D19" s="4">
        <f>SUM(D5:D18)</f>
        <v/>
      </c>
    </row>
    <row r="21">
      <c r="A21" s="8" t="inlineStr">
        <is>
          <t>Estructura de cada pestaña</t>
        </is>
      </c>
    </row>
    <row r="22">
      <c r="A22" s="9" t="inlineStr">
        <is>
          <t>1. Objetivos por nivel de Bloom: recordar, comprender, aplicar, analizar, evaluar, crear.</t>
        </is>
      </c>
    </row>
    <row r="23">
      <c r="A23" s="9" t="inlineStr">
        <is>
          <t>2. ANTES: trabajo asincrónico previo con lecturas, datasets y preparación de herramientas.</t>
        </is>
      </c>
    </row>
    <row r="24">
      <c r="A24" s="9" t="inlineStr">
        <is>
          <t>3. DURANTE: 105 minutos divididos en 7 pasos con hora de inicio y fin calculadas.</t>
        </is>
      </c>
    </row>
    <row r="25">
      <c r="A25" s="9" t="inlineStr">
        <is>
          <t>4. DESPUÉS: entregables y consolidación.</t>
        </is>
      </c>
    </row>
    <row r="26">
      <c r="A26" s="9" t="inlineStr">
        <is>
          <t>Los tiempos en azul son datos editables; el resto son fórmulas.</t>
        </is>
      </c>
    </row>
    <row r="28">
      <c r="A28" s="8" t="inlineStr">
        <is>
          <t>Supuesto de organización</t>
        </is>
      </c>
    </row>
    <row r="29" ht="42" customHeight="1">
      <c r="A29" s="9" t="inlineStr">
        <is>
          <t>Los 14 temas del curso caben en 14 sesiones agrupando EMG con EEG en la semana 5 y ECG con PPG en la semana 6, y uniendo tensión y compresión de huesos con la biomecánica del movimiento en la semana 13. Ajustar si el sílabo oficial indica otra distribución.</t>
        </is>
      </c>
    </row>
  </sheetData>
  <mergeCells count="8">
    <mergeCell ref="A1:D1"/>
    <mergeCell ref="A23:D23"/>
    <mergeCell ref="A22:D22"/>
    <mergeCell ref="A26:D26"/>
    <mergeCell ref="A29:D29"/>
    <mergeCell ref="A25:D25"/>
    <mergeCell ref="A24:D24"/>
    <mergeCell ref="A2:D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1: Introducción a los sistemas biomecatrónicos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Describe los componentes de un sistema biomecatrónico (sensores, procesamiento, control, actuadores e interfaz biológica) y explica su papel en la ingeniería biomédica.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Enumerar los subsistemas de un sistema biomecatrónico y dos aplicaciones clínicas de cada uno.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cómo se integran biología, mecánica, electrónica y control en una prótesis o un exoesqueleto.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Clasificar dispositivos reales (prótesis mioeléctrica, exoesqueleto, marcapasos) según sensores, actuadores y control.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el flujo señal biológica, procesamiento y actuación en un caso de estudio.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Valorar ventajas, riesgos y aspectos éticos de un dispositivo biomecatrónico.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Proponer un diagrama de bloques para una necesidad clínica concreta.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15</v>
      </c>
      <c r="E19" s="6" t="inlineStr">
        <is>
          <t>Recordar</t>
        </is>
      </c>
      <c r="F19" s="6" t="inlineStr">
        <is>
          <t>Leer el sílabo, la planificación y las rúbricas del curso en el aula virtual. (Aula virtual ESPOL)</t>
        </is>
      </c>
      <c r="G19" s="6" t="inlineStr">
        <is>
          <t>Confirmar lectura en el foro de bienvenida</t>
        </is>
      </c>
      <c r="H19" s="6" t="inlineStr"/>
    </row>
    <row r="20">
      <c r="A20" s="4" t="inlineStr">
        <is>
          <t>A2</t>
        </is>
      </c>
      <c r="B20" s="6" t="inlineStr"/>
      <c r="C20" s="6" t="inlineStr"/>
      <c r="D20" s="18" t="n">
        <v>25</v>
      </c>
      <c r="E20" s="6" t="inlineStr">
        <is>
          <t>Comprender</t>
        </is>
      </c>
      <c r="F20" s="6" t="inlineStr">
        <is>
          <t>Leer el artículo de introducción a la biomecatrónica y anotar tres términos nuevos. (Lectura)</t>
        </is>
      </c>
      <c r="G20" s="6" t="inlineStr">
        <is>
          <t>Tres términos con su definición</t>
        </is>
      </c>
      <c r="H20" s="5" t="inlineStr">
        <is>
          <t>https://en.wikipedia.org/wiki/Biomechatronics</t>
        </is>
      </c>
    </row>
    <row r="21">
      <c r="A21" s="4" t="inlineStr">
        <is>
          <t>A3</t>
        </is>
      </c>
      <c r="B21" s="6" t="inlineStr"/>
      <c r="C21" s="6" t="inlineStr"/>
      <c r="D21" s="18" t="n">
        <v>30</v>
      </c>
      <c r="E21" s="6" t="inlineStr">
        <is>
          <t>Comprender</t>
        </is>
      </c>
      <c r="F21" s="6" t="inlineStr">
        <is>
          <t>Revisar la revisión sobre biomimética y biomecatrónica y elegir un dispositivo de interés. (Lectura)</t>
        </is>
      </c>
      <c r="G21" s="6" t="inlineStr">
        <is>
          <t>Nombre del dispositivo elegido</t>
        </is>
      </c>
      <c r="H21" s="5" t="inlineStr">
        <is>
          <t>https://pmc.ncbi.nlm.nih.gov/articles/PMC9326577/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Bienvenida, reglas de participación virtual (cámara, chat, micrófono), sílabo, evaluación y niveles de la taxonomía de Bloom usados en el curso. Sondeo inicial: ¿qué dispositivo biomecatrónico conoces?</t>
        </is>
      </c>
      <c r="G26" s="6" t="inlineStr">
        <is>
          <t>Zoom o Teams, chat</t>
        </is>
      </c>
      <c r="H26" s="5" t="inlineStr">
        <is>
          <t>https://derekbruff.org/vanderbilt-cft-teaching-guides-archive/blooms-taxonomy/</t>
        </is>
      </c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Presentar la arquitectura general: sensor, acondicionamiento, controlador, actuador, interfaz con el cuerpo. Mostrar el diagrama de bloques con ejemplos (prótesis, exoesqueleto, marcapasos).</t>
        </is>
      </c>
      <c r="G27" s="6" t="inlineStr">
        <is>
          <t>Zoom, presentación</t>
        </is>
      </c>
      <c r="H27" s="5" t="inlineStr">
        <is>
          <t>https://en.wikipedia.org/wiki/Biomechatronics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Compartir pantalla y recorrer paso a paso una prótesis mioeléctrica: electrodos, amplificación, decisión, movimiento del actuador. Los estudiantes señalan cada bloque en el chat.</t>
        </is>
      </c>
      <c r="G28" s="6" t="inlineStr">
        <is>
          <t>Zoom, Colab o software</t>
        </is>
      </c>
      <c r="H28" s="5" t="inlineStr">
        <is>
          <t>https://en.wikipedia.org/wiki/Biomechatronics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minutos: apagar cámara, estirarse, volver puntuales.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cada grupo completa una tabla con tres dispositivos (sensores, actuadores, control, señal biológica) en un documento compartido de Google.</t>
        </is>
      </c>
      <c r="G30" s="6" t="inlineStr">
        <is>
          <t>Salas de Zoom, Google Docs</t>
        </is>
      </c>
      <c r="H30" s="5" t="inlineStr">
        <is>
          <t>https://pmc.ncbi.nlm.nih.gov/articles/PMC9326577/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Cada grupo presenta una fila de su tabla. Discusión guiada: riesgos, seguridad del paciente y ética del uso de estos dispositivos.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de 5 preguntas en Google Forms, explicación de la tarea y adelanto de la semana 2 (introducción a machine learning).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45</v>
      </c>
      <c r="E37" s="6" t="inlineStr">
        <is>
          <t>Crear</t>
        </is>
      </c>
      <c r="F37" s="6" t="inlineStr">
        <is>
          <t>Dibujar el diagrama de bloques de un dispositivo biomecatrónico para una necesidad clínica (una página). (Entregable individual en el aula virtual)</t>
        </is>
      </c>
      <c r="G37" s="6" t="inlineStr">
        <is>
          <t>Diagrama con bloques y señales rotuladas</t>
        </is>
      </c>
      <c r="H37" s="6" t="inlineStr"/>
    </row>
    <row r="38">
      <c r="A38" s="4" t="inlineStr">
        <is>
          <t>D2</t>
        </is>
      </c>
      <c r="B38" s="6" t="inlineStr"/>
      <c r="C38" s="6" t="inlineStr"/>
      <c r="D38" s="18" t="n">
        <v>20</v>
      </c>
      <c r="E38" s="6" t="inlineStr">
        <is>
          <t>Evaluar</t>
        </is>
      </c>
      <c r="F38" s="6" t="inlineStr">
        <is>
          <t>Escribir en el foro un párrafo sobre un riesgo ético del dispositivo elegido y responder a un compañero. (Foro del aula virtual)</t>
        </is>
      </c>
      <c r="G38" s="6" t="inlineStr">
        <is>
          <t>Un aporte y una respuesta</t>
        </is>
      </c>
      <c r="H38" s="6" t="inlineStr"/>
    </row>
    <row r="39">
      <c r="A39" s="4" t="inlineStr">
        <is>
          <t>D3</t>
        </is>
      </c>
      <c r="B39" s="6" t="inlineStr"/>
      <c r="C39" s="6" t="inlineStr"/>
      <c r="D39" s="18" t="n">
        <v>15</v>
      </c>
      <c r="E39" s="6" t="inlineStr">
        <is>
          <t>Aplicar</t>
        </is>
      </c>
      <c r="F39" s="6" t="inlineStr">
        <is>
          <t>Crear una cuenta en Google Colab y abrir el cuaderno de bienvenida. (Google Colab)</t>
        </is>
      </c>
      <c r="G39" s="6" t="inlineStr">
        <is>
          <t>Captura de pantalla de la cuenta activa</t>
        </is>
      </c>
      <c r="H39" s="5" t="inlineStr">
        <is>
          <t>https://colab.research.google.com/</t>
        </is>
      </c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20" r:id="rId1"/>
    <hyperlink xmlns:r="http://schemas.openxmlformats.org/officeDocument/2006/relationships" ref="H21" r:id="rId2"/>
    <hyperlink xmlns:r="http://schemas.openxmlformats.org/officeDocument/2006/relationships" ref="H26" r:id="rId3"/>
    <hyperlink xmlns:r="http://schemas.openxmlformats.org/officeDocument/2006/relationships" ref="H27" r:id="rId4"/>
    <hyperlink xmlns:r="http://schemas.openxmlformats.org/officeDocument/2006/relationships" ref="H28" r:id="rId5"/>
    <hyperlink xmlns:r="http://schemas.openxmlformats.org/officeDocument/2006/relationships" ref="H30" r:id="rId6"/>
    <hyperlink xmlns:r="http://schemas.openxmlformats.org/officeDocument/2006/relationships" ref="H39" r:id="rId7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2: Introducción a machine learning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Explica qué es machine learning, sus tipos y el flujo de trabajo (datos, entrenamiento, validación y prueba) con ejemplos biomédicos.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Definir aprendizaje automático, característica, etiqueta, modelo y función de pérdida.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la diferencia entre programación clásica y aprendizaje a partir de datos.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Ejecutar en Colab la división entrenamiento/prueba de un conjunto de datos pequeño.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por qué un modelo puede sobreajustar usando las curvas de entrenamiento y validación.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Valorar si un problema biomédico es adecuado para machine learning según los datos disponibles.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Diseñar el flujo de trabajo de ML para un problema clínico propuesto.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40</v>
      </c>
      <c r="E19" s="6" t="inlineStr">
        <is>
          <t>Comprender</t>
        </is>
      </c>
      <c r="F19" s="6" t="inlineStr">
        <is>
          <t>Cursar el módulo de introducción de Machine Learning Crash Course. (Curso en línea)</t>
        </is>
      </c>
      <c r="G19" s="6" t="inlineStr">
        <is>
          <t>Resumen de cinco líneas</t>
        </is>
      </c>
      <c r="H19" s="5" t="inlineStr">
        <is>
          <t>https://developers.google.com/machine-learning/crash-course</t>
        </is>
      </c>
    </row>
    <row r="20">
      <c r="A20" s="4" t="inlineStr">
        <is>
          <t>A2</t>
        </is>
      </c>
      <c r="B20" s="6" t="inlineStr"/>
      <c r="C20" s="6" t="inlineStr"/>
      <c r="D20" s="18" t="n">
        <v>15</v>
      </c>
      <c r="E20" s="6" t="inlineStr">
        <is>
          <t>Aplicar</t>
        </is>
      </c>
      <c r="F20" s="6" t="inlineStr">
        <is>
          <t>Abrir Colab y ejecutar la primera celda de código de práctica. (Google Colab)</t>
        </is>
      </c>
      <c r="G20" s="6" t="inlineStr">
        <is>
          <t>Captura de la celda ejecutada</t>
        </is>
      </c>
      <c r="H20" s="5" t="inlineStr">
        <is>
          <t>https://colab.research.google.com/</t>
        </is>
      </c>
    </row>
    <row r="21">
      <c r="A21" s="4" t="inlineStr">
        <is>
          <t>A3</t>
        </is>
      </c>
      <c r="B21" s="6" t="inlineStr"/>
      <c r="C21" s="6" t="inlineStr"/>
      <c r="D21" s="18" t="n">
        <v>10</v>
      </c>
      <c r="E21" s="6" t="inlineStr">
        <is>
          <t>Recordar</t>
        </is>
      </c>
      <c r="F21" s="6" t="inlineStr">
        <is>
          <t>Responder el formulario diagnóstico de conocimientos previos de Python. (Google Forms)</t>
        </is>
      </c>
      <c r="G21" s="6" t="inlineStr">
        <is>
          <t>Formulario enviado</t>
        </is>
      </c>
      <c r="H21" s="6" t="inlineStr"/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la semana 1 con dos preguntas orales. Objetivos de la sesión y agenda de 105 minutos.</t>
        </is>
      </c>
      <c r="G26" s="6" t="inlineStr">
        <is>
          <t>Zoom o Teams, chat</t>
        </is>
      </c>
      <c r="H26" s="6" t="inlineStr"/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qué es ML, tipos de aprendizaje, flujo de trabajo, ejemplos en biomedicina (diagnóstico por imagen, señales fisiológicas, predicción de riesgo).</t>
        </is>
      </c>
      <c r="G27" s="6" t="inlineStr">
        <is>
          <t>Zoom, presentación</t>
        </is>
      </c>
      <c r="H27" s="5" t="inlineStr">
        <is>
          <t>https://developers.google.com/machine-learning/crash-course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Colab: cargar un conjunto de datos tabular, separar entrenamiento y prueba, entrenar un modelo simple y medir su exactitud.</t>
        </is>
      </c>
      <c r="G28" s="6" t="inlineStr">
        <is>
          <t>Zoom, Colab o software</t>
        </is>
      </c>
      <c r="H28" s="5" t="inlineStr">
        <is>
          <t>https://colab.research.google.com/
https://scikit-learn.org/stable/user_guide.html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para tres casos biomédicos, identificar entrada, salida, tipo de problema y riesgo de sobreajuste. Registrar en un documento compartido.</t>
        </is>
      </c>
      <c r="G30" s="6" t="inlineStr">
        <is>
          <t>Salas de Zoom, Google Docs</t>
        </is>
      </c>
      <c r="H30" s="6" t="inlineStr"/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defiende un caso. Discusión sobre calidad de datos, sesgo y privacidad del paciente.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3 (aprendizaje supervisado y no supervisado).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40</v>
      </c>
      <c r="E37" s="6" t="inlineStr">
        <is>
          <t>Aplicar</t>
        </is>
      </c>
      <c r="F37" s="6" t="inlineStr">
        <is>
          <t>Completar el cuaderno de la clase con una partición 70/30 y reportar la exactitud. (Google Colab)</t>
        </is>
      </c>
      <c r="G37" s="6" t="inlineStr">
        <is>
          <t>Cuaderno compartido con permiso de lectura</t>
        </is>
      </c>
      <c r="H37" s="5" t="inlineStr">
        <is>
          <t>https://colab.research.google.com/</t>
        </is>
      </c>
    </row>
    <row r="38">
      <c r="A38" s="4" t="inlineStr">
        <is>
          <t>D2</t>
        </is>
      </c>
      <c r="B38" s="6" t="inlineStr"/>
      <c r="C38" s="6" t="inlineStr"/>
      <c r="D38" s="18" t="n">
        <v>30</v>
      </c>
      <c r="E38" s="6" t="inlineStr">
        <is>
          <t>Crear</t>
        </is>
      </c>
      <c r="F38" s="6" t="inlineStr">
        <is>
          <t>Escribir media página sobre un problema clínico de la carrera que podría resolverse con ML y qué datos harían falta. (Aula virtual)</t>
        </is>
      </c>
      <c r="G38" s="6" t="inlineStr">
        <is>
          <t>Texto de media página</t>
        </is>
      </c>
      <c r="H38" s="6" t="inlineStr"/>
    </row>
    <row r="39">
      <c r="A39" s="4" t="inlineStr">
        <is>
          <t>D3</t>
        </is>
      </c>
      <c r="B39" s="6" t="inlineStr"/>
      <c r="C39" s="6" t="inlineStr"/>
      <c r="D39" s="18" t="n">
        <v>20</v>
      </c>
      <c r="E39" s="6" t="inlineStr">
        <is>
          <t>Comprender</t>
        </is>
      </c>
      <c r="F39" s="6" t="inlineStr">
        <is>
          <t>Leer la sección de scikit-learn sobre validación para la próxima clase. (Guía de usuario)</t>
        </is>
      </c>
      <c r="G39" s="6" t="inlineStr">
        <is>
          <t>Tres dudas anotadas</t>
        </is>
      </c>
      <c r="H39" s="5" t="inlineStr">
        <is>
          <t>https://scikit-learn.org/stable/user_guide.html</t>
        </is>
      </c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7" r:id="rId3"/>
    <hyperlink xmlns:r="http://schemas.openxmlformats.org/officeDocument/2006/relationships" ref="H28" r:id="rId4"/>
    <hyperlink xmlns:r="http://schemas.openxmlformats.org/officeDocument/2006/relationships" ref="H37" r:id="rId5"/>
    <hyperlink xmlns:r="http://schemas.openxmlformats.org/officeDocument/2006/relationships" ref="H39" r:id="rId6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3: Machine learning supervisado y no supervisado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Distingue el aprendizaje supervisado del no supervisado y selecciona el tipo de algoritmo adecuado según el problema y los datos.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Nombrar los algoritmos supervisados y no supervisados más usados (regresión lineal, k-vecinos, árboles, k-means).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cuándo se usa clasificación, regresión y agrupamiento.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Entrenar en Colab un clasificador supervisado y un modelo k-means sobre el mismo conjunto de datos.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Comparar resultados de ambos enfoques con métricas apropiadas (exactitud, inercia, silueta).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Justificar la elección de un algoritmo para un caso biomédico dado.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Diseñar un experimento que combine un paso no supervisado y uno supervisado.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30</v>
      </c>
      <c r="E19" s="6" t="inlineStr">
        <is>
          <t>Comprender</t>
        </is>
      </c>
      <c r="F19" s="6" t="inlineStr">
        <is>
          <t>Leer la sección de aprendizaje supervisado de la guía de scikit-learn (regresión lineal y k-vecinos). (Guía de usuario)</t>
        </is>
      </c>
      <c r="G19" s="6" t="inlineStr">
        <is>
          <t>Tabla de dos algoritmos con ventajas</t>
        </is>
      </c>
      <c r="H19" s="5" t="inlineStr">
        <is>
          <t>https://scikit-learn.org/stable/user_guide.html</t>
        </is>
      </c>
    </row>
    <row r="20">
      <c r="A20" s="4" t="inlineStr">
        <is>
          <t>A2</t>
        </is>
      </c>
      <c r="B20" s="6" t="inlineStr"/>
      <c r="C20" s="6" t="inlineStr"/>
      <c r="D20" s="18" t="n">
        <v>20</v>
      </c>
      <c r="E20" s="6" t="inlineStr">
        <is>
          <t>Comprender</t>
        </is>
      </c>
      <c r="F20" s="6" t="inlineStr">
        <is>
          <t>Leer la sección de clustering y ubicar k-means. (Guía de usuario)</t>
        </is>
      </c>
      <c r="G20" s="6" t="inlineStr">
        <is>
          <t>Definición propia de k-means</t>
        </is>
      </c>
      <c r="H20" s="5" t="inlineStr">
        <is>
          <t>https://scikit-learn.org/stable/modules/clustering.html</t>
        </is>
      </c>
    </row>
    <row r="21">
      <c r="A21" s="4" t="inlineStr">
        <is>
          <t>A3</t>
        </is>
      </c>
      <c r="B21" s="6" t="inlineStr"/>
      <c r="C21" s="6" t="inlineStr"/>
      <c r="D21" s="18" t="n">
        <v>20</v>
      </c>
      <c r="E21" s="6" t="inlineStr">
        <is>
          <t>Aplicar</t>
        </is>
      </c>
      <c r="F21" s="6" t="inlineStr">
        <is>
          <t>Repetir el cuaderno de la semana 2 con un conjunto de datos distinto. (Google Colab)</t>
        </is>
      </c>
      <c r="G21" s="6" t="inlineStr">
        <is>
          <t>Cuaderno ejecutado</t>
        </is>
      </c>
      <c r="H21" s="5" t="inlineStr">
        <is>
          <t>https://colab.research.google.com/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la semana 2, resolución de dudas de la tarea y agenda de la sesión.</t>
        </is>
      </c>
      <c r="G26" s="6" t="inlineStr">
        <is>
          <t>Zoom o Teams, chat</t>
        </is>
      </c>
      <c r="H26" s="6" t="inlineStr"/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aprendizaje supervisado (clasificación y regresión) frente a no supervisado (agrupamiento y reducción de dimensión). Métricas de cada uno.</t>
        </is>
      </c>
      <c r="G27" s="6" t="inlineStr">
        <is>
          <t>Zoom, presentación</t>
        </is>
      </c>
      <c r="H27" s="5" t="inlineStr">
        <is>
          <t>https://scikit-learn.org/stable/user_guide.html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Colab: entrenar k-vecinos y k-means con el mismo conjunto de datos y visualizar fronteras y grupos.</t>
        </is>
      </c>
      <c r="G28" s="6" t="inlineStr">
        <is>
          <t>Zoom, Colab o software</t>
        </is>
      </c>
      <c r="H28" s="5" t="inlineStr">
        <is>
          <t>https://colab.research.google.com/
https://scikit-learn.org/stable/modules/clustering.html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modificar el número de vecinos y de grupos, registrar cómo cambian las métricas y explicar la causa.</t>
        </is>
      </c>
      <c r="G30" s="6" t="inlineStr">
        <is>
          <t>Salas de Zoom, Google Docs</t>
        </is>
      </c>
      <c r="H30" s="5" t="inlineStr">
        <is>
          <t>https://scikit-learn.org/stable/user_guide.html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expone un hallazgo. Discusión sobre cuándo no hay etiquetas disponibles en un hospital.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4 (algoritmos aplicados a biomedicina).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35</v>
      </c>
      <c r="E37" s="6" t="inlineStr">
        <is>
          <t>Analizar</t>
        </is>
      </c>
      <c r="F37" s="6" t="inlineStr">
        <is>
          <t>Elaborar una tabla comparativa de cuatro algoritmos (tipo, entrada, salida, métrica, riesgo). (Documento de Google)</t>
        </is>
      </c>
      <c r="G37" s="6" t="inlineStr">
        <is>
          <t>Tabla completa</t>
        </is>
      </c>
      <c r="H37" s="6" t="inlineStr"/>
    </row>
    <row r="38">
      <c r="A38" s="4" t="inlineStr">
        <is>
          <t>D2</t>
        </is>
      </c>
      <c r="B38" s="6" t="inlineStr"/>
      <c r="C38" s="6" t="inlineStr"/>
      <c r="D38" s="18" t="n">
        <v>40</v>
      </c>
      <c r="E38" s="6" t="inlineStr">
        <is>
          <t>Crear</t>
        </is>
      </c>
      <c r="F38" s="6" t="inlineStr">
        <is>
          <t>Redactar el diseño de un experimento con un paso no supervisado seguido de uno supervisado. (Aula virtual)</t>
        </is>
      </c>
      <c r="G38" s="6" t="inlineStr">
        <is>
          <t>Diseño de una página</t>
        </is>
      </c>
      <c r="H38" s="5" t="inlineStr">
        <is>
          <t>https://scikit-learn.org/stable/user_guide.html</t>
        </is>
      </c>
    </row>
    <row r="39">
      <c r="A39" s="4" t="inlineStr">
        <is>
          <t>D3</t>
        </is>
      </c>
      <c r="B39" s="6" t="inlineStr"/>
      <c r="C39" s="6" t="inlineStr"/>
      <c r="D39" s="18" t="n">
        <v>10</v>
      </c>
      <c r="E39" s="6" t="inlineStr">
        <is>
          <t>Evaluar</t>
        </is>
      </c>
      <c r="F39" s="6" t="inlineStr">
        <is>
          <t>Autoevaluación con el formulario de la unidad. (Google Forms)</t>
        </is>
      </c>
      <c r="G39" s="6" t="inlineStr">
        <is>
          <t>Puntaje registrado</t>
        </is>
      </c>
      <c r="H39" s="6" t="inlineStr"/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7" r:id="rId4"/>
    <hyperlink xmlns:r="http://schemas.openxmlformats.org/officeDocument/2006/relationships" ref="H28" r:id="rId5"/>
    <hyperlink xmlns:r="http://schemas.openxmlformats.org/officeDocument/2006/relationships" ref="H30" r:id="rId6"/>
    <hyperlink xmlns:r="http://schemas.openxmlformats.org/officeDocument/2006/relationships" ref="H38" r:id="rId7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4: Algoritmos de ML en biomedicina: clasificación, regresión y modelos no supervisados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Aplica algoritmos de clasificación, regresión y agrupamiento a un conjunto de datos biomédico y evalúa su desempeño.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Recordar las métricas de clasificación (exactitud, sensibilidad, especificidad) y de regresión (MAE, RMSE, R2).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por qué la sensibilidad y la especificidad importan más que la exactitud en diagnóstico.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Entrenar un clasificador sobre el conjunto de EMG de miembro inferior para distinguir rodillas sanas de anormales.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la matriz de confusión e identificar el tipo de error más costoso clínicamente.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el modelo con validación cruzada y decidir si es aceptable para uso clínico.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Proponer una mejora al modelo (nuevas características o algoritmo) y justificarla.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25</v>
      </c>
      <c r="E19" s="6" t="inlineStr">
        <is>
          <t>Comprender</t>
        </is>
      </c>
      <c r="F19" s="6" t="inlineStr">
        <is>
          <t>Leer la descripción del conjunto de EMG de miembro inferior y anotar las variables. (Conjunto de datos)</t>
        </is>
      </c>
      <c r="G19" s="6" t="inlineStr">
        <is>
          <t>Lista de variables</t>
        </is>
      </c>
      <c r="H19" s="5" t="inlineStr">
        <is>
          <t>https://archive.ics.uci.edu/dataset/278/emg+dataset+in+lower+limb</t>
        </is>
      </c>
    </row>
    <row r="20">
      <c r="A20" s="4" t="inlineStr">
        <is>
          <t>A2</t>
        </is>
      </c>
      <c r="B20" s="6" t="inlineStr"/>
      <c r="C20" s="6" t="inlineStr"/>
      <c r="D20" s="18" t="n">
        <v>30</v>
      </c>
      <c r="E20" s="6" t="inlineStr">
        <is>
          <t>Comprender</t>
        </is>
      </c>
      <c r="F20" s="6" t="inlineStr">
        <is>
          <t>Leer la sección de evaluación de modelos de la guía de scikit-learn. (Guía de usuario)</t>
        </is>
      </c>
      <c r="G20" s="6" t="inlineStr">
        <is>
          <t>Definición de sensibilidad y especificidad</t>
        </is>
      </c>
      <c r="H20" s="5" t="inlineStr">
        <is>
          <t>https://scikit-learn.org/stable/user_guide.html</t>
        </is>
      </c>
    </row>
    <row r="21">
      <c r="A21" s="4" t="inlineStr">
        <is>
          <t>A3</t>
        </is>
      </c>
      <c r="B21" s="6" t="inlineStr"/>
      <c r="C21" s="6" t="inlineStr"/>
      <c r="D21" s="18" t="n">
        <v>20</v>
      </c>
      <c r="E21" s="6" t="inlineStr">
        <is>
          <t>Aplicar</t>
        </is>
      </c>
      <c r="F21" s="6" t="inlineStr">
        <is>
          <t>Descargar el conjunto de datos y cargarlo en Colab. (Google Colab)</t>
        </is>
      </c>
      <c r="G21" s="6" t="inlineStr">
        <is>
          <t>Tabla cargada en el cuaderno</t>
        </is>
      </c>
      <c r="H21" s="5" t="inlineStr">
        <is>
          <t>https://colab.research.google.com/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métricas y de la tarea de la semana 3. Presentar el objetivo: clasificar y predecir con datos de EMG y goniometría.</t>
        </is>
      </c>
      <c r="G26" s="6" t="inlineStr">
        <is>
          <t>Zoom o Teams, chat</t>
        </is>
      </c>
      <c r="H26" s="5" t="inlineStr">
        <is>
          <t>https://scikit-learn.org/stable/user_guide.html</t>
        </is>
      </c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clasificación (regresión logística, árboles, k-vecinos), regresión (lineal, aleatoria) y agrupamiento aplicados a biomedicina. Pipeline y validación cruzada.</t>
        </is>
      </c>
      <c r="G27" s="6" t="inlineStr">
        <is>
          <t>Zoom, presentación</t>
        </is>
      </c>
      <c r="H27" s="5" t="inlineStr">
        <is>
          <t>https://scikit-learn.org/stable/user_guide.html
https://scikit-learn.org/stable/modules/clustering.html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Colab: entrenar un clasificador, calcular la matriz de confusión y una regresión del ángulo de la rodilla.</t>
        </is>
      </c>
      <c r="G28" s="6" t="inlineStr">
        <is>
          <t>Zoom, Colab o software</t>
        </is>
      </c>
      <c r="H28" s="5" t="inlineStr">
        <is>
          <t>https://colab.research.google.com/
https://archive.ics.uci.edu/dataset/278/emg+dataset+in+lower+limb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probar dos algoritmos, comparar métricas y decidir cuál es más seguro para el paciente.</t>
        </is>
      </c>
      <c r="G30" s="6" t="inlineStr">
        <is>
          <t>Salas de Zoom, Google Docs</t>
        </is>
      </c>
      <c r="H30" s="5" t="inlineStr">
        <is>
          <t>https://archive.ics.uci.edu/dataset/278/emg+dataset+in+lower+limb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justifica su elección. Discusión sobre falsos negativos en diagnóstico y sobre el tamaño pequeño del conjunto de datos.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5 (señales EMG y EEG).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50</v>
      </c>
      <c r="E37" s="6" t="inlineStr">
        <is>
          <t>Aplicar</t>
        </is>
      </c>
      <c r="F37" s="6" t="inlineStr">
        <is>
          <t>Entregar el cuaderno con clasificación, regresión y agrupamiento, cada uno con su métrica. (Google Colab)</t>
        </is>
      </c>
      <c r="G37" s="6" t="inlineStr">
        <is>
          <t>Cuaderno con conclusiones</t>
        </is>
      </c>
      <c r="H37" s="5" t="inlineStr">
        <is>
          <t>https://colab.research.google.com/</t>
        </is>
      </c>
    </row>
    <row r="38">
      <c r="A38" s="4" t="inlineStr">
        <is>
          <t>D2</t>
        </is>
      </c>
      <c r="B38" s="6" t="inlineStr"/>
      <c r="C38" s="6" t="inlineStr"/>
      <c r="D38" s="18" t="n">
        <v>20</v>
      </c>
      <c r="E38" s="6" t="inlineStr">
        <is>
          <t>Evaluar</t>
        </is>
      </c>
      <c r="F38" s="6" t="inlineStr">
        <is>
          <t>Redactar un párrafo que justifique qué algoritmo recomendarías y por qué. (Aula virtual)</t>
        </is>
      </c>
      <c r="G38" s="6" t="inlineStr">
        <is>
          <t>Párrafo de justificación</t>
        </is>
      </c>
      <c r="H38" s="6" t="inlineStr"/>
    </row>
    <row r="39">
      <c r="A39" s="4" t="inlineStr">
        <is>
          <t>D3</t>
        </is>
      </c>
      <c r="B39" s="6" t="inlineStr"/>
      <c r="C39" s="6" t="inlineStr"/>
      <c r="D39" s="18" t="n">
        <v>15</v>
      </c>
      <c r="E39" s="6" t="inlineStr">
        <is>
          <t>Crear</t>
        </is>
      </c>
      <c r="F39" s="6" t="inlineStr">
        <is>
          <t>Proponer una característica adicional que mejore el modelo. (Foro)</t>
        </is>
      </c>
      <c r="G39" s="6" t="inlineStr">
        <is>
          <t>Propuesta en el foro</t>
        </is>
      </c>
      <c r="H39" s="6" t="inlineStr"/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6" r:id="rId4"/>
    <hyperlink xmlns:r="http://schemas.openxmlformats.org/officeDocument/2006/relationships" ref="H27" r:id="rId5"/>
    <hyperlink xmlns:r="http://schemas.openxmlformats.org/officeDocument/2006/relationships" ref="H28" r:id="rId6"/>
    <hyperlink xmlns:r="http://schemas.openxmlformats.org/officeDocument/2006/relationships" ref="H30" r:id="rId7"/>
    <hyperlink xmlns:r="http://schemas.openxmlformats.org/officeDocument/2006/relationships" ref="H37" r:id="rId8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5: Práctica con señales biomédicas: EMG y EEG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Preprocesa señales EMG y EEG, extrae características y entrena un clasificador sencillo con ellas.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Recordar el origen fisiológico de la EMG y del EEG y sus bandas de frecuencia típicas.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por qué se filtra la señal y qué hace un filtro pasa banda.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Aplicar filtrado y ventaneo a un registro y calcular RMS de EMG y potencia por banda de EEG.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cómo cambian las características entre reposo y movimiento (o ojos abiertos y cerrados).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la calidad de la señal e identificar artefactos.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Crear un pipeline completo: señal, filtro, características y clasificador.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35</v>
      </c>
      <c r="E19" s="6" t="inlineStr">
        <is>
          <t>Comprender</t>
        </is>
      </c>
      <c r="F19" s="6" t="inlineStr">
        <is>
          <t>Leer el artículo de NeuroKit2 y la introducción de MNE-Python sobre análisis EEG. (Lectura)</t>
        </is>
      </c>
      <c r="G19" s="6" t="inlineStr">
        <is>
          <t>Glosario de cinco términos</t>
        </is>
      </c>
      <c r="H19" s="5" t="inlineStr">
        <is>
          <t>https://link.springer.com/article/10.3758/s13428-020-01516-y
https://mne.tools/stable/auto_tutorials/intro/10_overview.html</t>
        </is>
      </c>
    </row>
    <row r="20">
      <c r="A20" s="4" t="inlineStr">
        <is>
          <t>A2</t>
        </is>
      </c>
      <c r="B20" s="6" t="inlineStr"/>
      <c r="C20" s="6" t="inlineStr"/>
      <c r="D20" s="18" t="n">
        <v>20</v>
      </c>
      <c r="E20" s="6" t="inlineStr">
        <is>
          <t>Recordar</t>
        </is>
      </c>
      <c r="F20" s="6" t="inlineStr">
        <is>
          <t>Explorar el conjunto de EEG de movimiento e imaginación motora y ubicar los archivos. (Conjunto de datos)</t>
        </is>
      </c>
      <c r="G20" s="6" t="inlineStr">
        <is>
          <t>Lista de tareas registradas</t>
        </is>
      </c>
      <c r="H20" s="5" t="inlineStr">
        <is>
          <t>https://physionet.org/content/eegmmidb/1.0.0/</t>
        </is>
      </c>
    </row>
    <row r="21">
      <c r="A21" s="4" t="inlineStr">
        <is>
          <t>A3</t>
        </is>
      </c>
      <c r="B21" s="6" t="inlineStr"/>
      <c r="C21" s="6" t="inlineStr"/>
      <c r="D21" s="18" t="n">
        <v>15</v>
      </c>
      <c r="E21" s="6" t="inlineStr">
        <is>
          <t>Aplicar</t>
        </is>
      </c>
      <c r="F21" s="6" t="inlineStr">
        <is>
          <t>Instalar NeuroKit2 y MNE en Colab. (Google Colab)</t>
        </is>
      </c>
      <c r="G21" s="6" t="inlineStr">
        <is>
          <t>Instalación exitosa</t>
        </is>
      </c>
      <c r="H21" s="5" t="inlineStr">
        <is>
          <t>https://colab.research.google.com/
https://pypi.org/project/neurokit2/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métricas y objetivos. Recordar la ética del manejo de datos fisiológicos.</t>
        </is>
      </c>
      <c r="G26" s="6" t="inlineStr">
        <is>
          <t>Zoom o Teams, chat</t>
        </is>
      </c>
      <c r="H26" s="6" t="inlineStr"/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adquisición y características de EMG y EEG, ruido y artefactos, filtros, ventaneo y características (RMS, MAV, bandas alfa y beta).</t>
        </is>
      </c>
      <c r="G27" s="6" t="inlineStr">
        <is>
          <t>Zoom, presentación</t>
        </is>
      </c>
      <c r="H27" s="5" t="inlineStr">
        <is>
          <t>https://link.springer.com/article/10.3758/s13428-020-01516-y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Colab: cargar un registro, filtrar, graficar y extraer características con NeuroKit2 y MNE.</t>
        </is>
      </c>
      <c r="G28" s="6" t="inlineStr">
        <is>
          <t>Zoom, Colab o software</t>
        </is>
      </c>
      <c r="H28" s="5" t="inlineStr">
        <is>
          <t>https://colab.research.google.com/
https://pypi.org/project/neurokit2/
https://mne.tools/stable/auto_tutorials/intro/10_overview.html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extraer características de dos condiciones distintas y entrenar un clasificador simple. Comparar resultados.</t>
        </is>
      </c>
      <c r="G30" s="6" t="inlineStr">
        <is>
          <t>Salas de Zoom, Google Docs</t>
        </is>
      </c>
      <c r="H30" s="5" t="inlineStr">
        <is>
          <t>https://physionet.org/content/eegmmidb/1.0.0/
https://archive.ics.uci.edu/dataset/278/emg+dataset+in+lower+limb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muestra su gráfica y su métrica. Discusión sobre artefactos oculares, cardiacos y de movimiento.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6 (ECG y PPG).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45</v>
      </c>
      <c r="E37" s="6" t="inlineStr">
        <is>
          <t>Aplicar</t>
        </is>
      </c>
      <c r="F37" s="6" t="inlineStr">
        <is>
          <t>Completar el cuaderno de la clase con una segunda condición y reportar exactitud. (Google Colab)</t>
        </is>
      </c>
      <c r="G37" s="6" t="inlineStr">
        <is>
          <t>Cuaderno ejecutado</t>
        </is>
      </c>
      <c r="H37" s="5" t="inlineStr">
        <is>
          <t>https://colab.research.google.com/</t>
        </is>
      </c>
    </row>
    <row r="38">
      <c r="A38" s="4" t="inlineStr">
        <is>
          <t>D2</t>
        </is>
      </c>
      <c r="B38" s="6" t="inlineStr"/>
      <c r="C38" s="6" t="inlineStr"/>
      <c r="D38" s="18" t="n">
        <v>25</v>
      </c>
      <c r="E38" s="6" t="inlineStr">
        <is>
          <t>Analizar</t>
        </is>
      </c>
      <c r="F38" s="6" t="inlineStr">
        <is>
          <t>Redactar qué artefactos aparecieron y cómo los mitigarías. (Aula virtual)</t>
        </is>
      </c>
      <c r="G38" s="6" t="inlineStr">
        <is>
          <t>Texto de media página</t>
        </is>
      </c>
      <c r="H38" s="5" t="inlineStr">
        <is>
          <t>https://mne.tools/stable/auto_tutorials/intro/10_overview.html</t>
        </is>
      </c>
    </row>
    <row r="39">
      <c r="A39" s="4" t="inlineStr">
        <is>
          <t>D3</t>
        </is>
      </c>
      <c r="B39" s="6" t="inlineStr"/>
      <c r="C39" s="6" t="inlineStr"/>
      <c r="D39" s="18" t="n">
        <v>25</v>
      </c>
      <c r="E39" s="6" t="inlineStr">
        <is>
          <t>Crear</t>
        </is>
      </c>
      <c r="F39" s="6" t="inlineStr">
        <is>
          <t>Proponer un pipeline de control para una prótesis basado en EMG. (Documento de Google)</t>
        </is>
      </c>
      <c r="G39" s="6" t="inlineStr">
        <is>
          <t>Diagrama y descripción</t>
        </is>
      </c>
      <c r="H39" s="5" t="inlineStr">
        <is>
          <t>https://archive.ics.uci.edu/dataset/278/emg+dataset+in+lower+limb</t>
        </is>
      </c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7" r:id="rId4"/>
    <hyperlink xmlns:r="http://schemas.openxmlformats.org/officeDocument/2006/relationships" ref="H28" r:id="rId5"/>
    <hyperlink xmlns:r="http://schemas.openxmlformats.org/officeDocument/2006/relationships" ref="H30" r:id="rId6"/>
    <hyperlink xmlns:r="http://schemas.openxmlformats.org/officeDocument/2006/relationships" ref="H37" r:id="rId7"/>
    <hyperlink xmlns:r="http://schemas.openxmlformats.org/officeDocument/2006/relationships" ref="H38" r:id="rId8"/>
    <hyperlink xmlns:r="http://schemas.openxmlformats.org/officeDocument/2006/relationships" ref="H39" r:id="rId9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6: Práctica con señales biomédicas: ECG (EKG) y PPG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Detecta picos R y pulsos, calcula frecuencia cardiaca y variabilidad, y clasifica latidos con características extraídas de ECG y PPG.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Recordar las ondas P, QRS y T del ECG y la forma de un pulso de PPG.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cómo se obtiene la frecuencia cardiaca desde ECG y desde PPG.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Aplicar detección de picos R y de pulsos con NeuroKit2 sobre registros de PhysioNet.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diferencias entre latidos normales y arrítmicos usando características de intervalo.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la concordancia entre la frecuencia cardiaca del ECG y la del PPG.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Crear un clasificador de latidos con características de RR.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25</v>
      </c>
      <c r="E19" s="6" t="inlineStr">
        <is>
          <t>Comprender</t>
        </is>
      </c>
      <c r="F19" s="6" t="inlineStr">
        <is>
          <t>Ver la descripción del conjunto MIT-BIH y anotar las clases de latidos. (Conjunto de datos)</t>
        </is>
      </c>
      <c r="G19" s="6" t="inlineStr">
        <is>
          <t>Lista de clases de latidos</t>
        </is>
      </c>
      <c r="H19" s="5" t="inlineStr">
        <is>
          <t>https://physionet.org/content/mitdb/1.0.0/</t>
        </is>
      </c>
    </row>
    <row r="20">
      <c r="A20" s="4" t="inlineStr">
        <is>
          <t>A2</t>
        </is>
      </c>
      <c r="B20" s="6" t="inlineStr"/>
      <c r="C20" s="6" t="inlineStr"/>
      <c r="D20" s="18" t="n">
        <v>20</v>
      </c>
      <c r="E20" s="6" t="inlineStr">
        <is>
          <t>Comprender</t>
        </is>
      </c>
      <c r="F20" s="6" t="inlineStr">
        <is>
          <t>Revisar la descripción del conjunto BIDMC con ECG, PPG y respiración. (Conjunto de datos)</t>
        </is>
      </c>
      <c r="G20" s="6" t="inlineStr">
        <is>
          <t>Frecuencia de muestreo y duración</t>
        </is>
      </c>
      <c r="H20" s="5" t="inlineStr">
        <is>
          <t>https://physionet.org/content/bidmc/1.0.0/</t>
        </is>
      </c>
    </row>
    <row r="21">
      <c r="A21" s="4" t="inlineStr">
        <is>
          <t>A3</t>
        </is>
      </c>
      <c r="B21" s="6" t="inlineStr"/>
      <c r="C21" s="6" t="inlineStr"/>
      <c r="D21" s="18" t="n">
        <v>25</v>
      </c>
      <c r="E21" s="6" t="inlineStr">
        <is>
          <t>Aplicar</t>
        </is>
      </c>
      <c r="F21" s="6" t="inlineStr">
        <is>
          <t>Instalar NeuroKit2 en Colab y ejecutar el ejemplo de ECG. (Google Colab)</t>
        </is>
      </c>
      <c r="G21" s="6" t="inlineStr">
        <is>
          <t>Gráfica del ECG con picos</t>
        </is>
      </c>
      <c r="H21" s="5" t="inlineStr">
        <is>
          <t>https://colab.research.google.com/
https://pypi.org/project/neurokit2/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EMG y EEG, y del pipeline de señal. Objetivos de la sesión.</t>
        </is>
      </c>
      <c r="G26" s="6" t="inlineStr">
        <is>
          <t>Zoom o Teams, chat</t>
        </is>
      </c>
      <c r="H26" s="6" t="inlineStr"/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anatomía del ECG, forma del pulso de PPG, intervalos RR, frecuencia cardiaca y variabilidad. Arritmias frecuentes.</t>
        </is>
      </c>
      <c r="G27" s="6" t="inlineStr">
        <is>
          <t>Zoom, presentación</t>
        </is>
      </c>
      <c r="H27" s="5" t="inlineStr">
        <is>
          <t>https://physionet.org/content/mitdb/1.0.0/
https://physionet.org/content/bidmc/1.0.0/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Colab: leer un registro de PhysioNet, detectar picos R y pulsos y calcular frecuencia cardiaca.</t>
        </is>
      </c>
      <c r="G28" s="6" t="inlineStr">
        <is>
          <t>Zoom, Colab o software</t>
        </is>
      </c>
      <c r="H28" s="5" t="inlineStr">
        <is>
          <t>https://colab.research.google.com/
https://pypi.org/project/neurokit2/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comparar la frecuencia cardiaca de ECG y PPG y clasificar latidos con características de RR.</t>
        </is>
      </c>
      <c r="G30" s="6" t="inlineStr">
        <is>
          <t>Salas de Zoom, Google Docs</t>
        </is>
      </c>
      <c r="H30" s="5" t="inlineStr">
        <is>
          <t>https://physionet.org/content/mitdb/1.0.0/
https://physionet.org/content/bidmc/1.0.0/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presenta su comparación. Discusión sobre limitaciones del PPG en movimiento y con perfusión baja.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7 (imágenes médicas).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45</v>
      </c>
      <c r="E37" s="6" t="inlineStr">
        <is>
          <t>Aplicar</t>
        </is>
      </c>
      <c r="F37" s="6" t="inlineStr">
        <is>
          <t>Entregar el cuaderno con la detección de picos y la comparación ECG frente a PPG. (Google Colab)</t>
        </is>
      </c>
      <c r="G37" s="6" t="inlineStr">
        <is>
          <t>Cuaderno con gráficas</t>
        </is>
      </c>
      <c r="H37" s="5" t="inlineStr">
        <is>
          <t>https://colab.research.google.com/</t>
        </is>
      </c>
    </row>
    <row r="38">
      <c r="A38" s="4" t="inlineStr">
        <is>
          <t>D2</t>
        </is>
      </c>
      <c r="B38" s="6" t="inlineStr"/>
      <c r="C38" s="6" t="inlineStr"/>
      <c r="D38" s="18" t="n">
        <v>25</v>
      </c>
      <c r="E38" s="6" t="inlineStr">
        <is>
          <t>Evaluar</t>
        </is>
      </c>
      <c r="F38" s="6" t="inlineStr">
        <is>
          <t>Escribir cuándo un PPG de muñeca no es confiable y qué alternativas propondrías. (Aula virtual)</t>
        </is>
      </c>
      <c r="G38" s="6" t="inlineStr">
        <is>
          <t>Texto de media página</t>
        </is>
      </c>
      <c r="H38" s="5" t="inlineStr">
        <is>
          <t>https://physionet.org/content/bidmc/1.0.0/</t>
        </is>
      </c>
    </row>
    <row r="39">
      <c r="A39" s="4" t="inlineStr">
        <is>
          <t>D3</t>
        </is>
      </c>
      <c r="B39" s="6" t="inlineStr"/>
      <c r="C39" s="6" t="inlineStr"/>
      <c r="D39" s="18" t="n">
        <v>20</v>
      </c>
      <c r="E39" s="6" t="inlineStr">
        <is>
          <t>Crear</t>
        </is>
      </c>
      <c r="F39" s="6" t="inlineStr">
        <is>
          <t>Proponer una característica nueva para separar latidos normales de arrítmicos. (Foro)</t>
        </is>
      </c>
      <c r="G39" s="6" t="inlineStr">
        <is>
          <t>Propuesta en el foro</t>
        </is>
      </c>
      <c r="H39" s="5" t="inlineStr">
        <is>
          <t>https://physionet.org/content/mitdb/1.0.0/</t>
        </is>
      </c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7" r:id="rId4"/>
    <hyperlink xmlns:r="http://schemas.openxmlformats.org/officeDocument/2006/relationships" ref="H28" r:id="rId5"/>
    <hyperlink xmlns:r="http://schemas.openxmlformats.org/officeDocument/2006/relationships" ref="H30" r:id="rId6"/>
    <hyperlink xmlns:r="http://schemas.openxmlformats.org/officeDocument/2006/relationships" ref="H37" r:id="rId7"/>
    <hyperlink xmlns:r="http://schemas.openxmlformats.org/officeDocument/2006/relationships" ref="H38" r:id="rId8"/>
    <hyperlink xmlns:r="http://schemas.openxmlformats.org/officeDocument/2006/relationships" ref="H39" r:id="rId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7: Imágenes médicas: rayos X, TAC, ecografía, resonancia magnética y PET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Compara las modalidades de imagen médica según física, contraste, riesgos y aplicaciones, y prepara imágenes para modelos de ML.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Nombrar cinco modalidades de imagen (rayos X, TAC, ecografía, resonancia magnética, PET) y su formato DICOM.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qué mide cada modalidad y qué contraste ofrece.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Abrir y visualizar un estudio DICOM y ajustar ventana y nivel.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ventajas y limitaciones de cada modalidad para una patología dada.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qué modalidad conviene para tumor cerebral, fractura y lesión pulmonar.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Diseñar un preprocesamiento de imágenes (normalización, recorte, aumento de datos).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30</v>
      </c>
      <c r="E19" s="6" t="inlineStr">
        <is>
          <t>Comprender</t>
        </is>
      </c>
      <c r="F19" s="6" t="inlineStr">
        <is>
          <t>Leer la descripción de las colecciones de TCIA y elegir una con CT, MRI o PET. (Colecciones de imagen)</t>
        </is>
      </c>
      <c r="G19" s="6" t="inlineStr">
        <is>
          <t>Nombre de la colección y modalidad</t>
        </is>
      </c>
      <c r="H19" s="5" t="inlineStr">
        <is>
          <t>https://wiki.cancerimagingarchive.net/display/Public/Collections
https://www.nature.com/articles/sdata2017124</t>
        </is>
      </c>
    </row>
    <row r="20">
      <c r="A20" s="4" t="inlineStr">
        <is>
          <t>A2</t>
        </is>
      </c>
      <c r="B20" s="6" t="inlineStr"/>
      <c r="C20" s="6" t="inlineStr"/>
      <c r="D20" s="18" t="n">
        <v>20</v>
      </c>
      <c r="E20" s="6" t="inlineStr">
        <is>
          <t>Aplicar</t>
        </is>
      </c>
      <c r="F20" s="6" t="inlineStr">
        <is>
          <t>Descargar e instalar 3D Slicer. (Software)</t>
        </is>
      </c>
      <c r="G20" s="6" t="inlineStr">
        <is>
          <t>Captura de Slicer abierto</t>
        </is>
      </c>
      <c r="H20" s="5" t="inlineStr">
        <is>
          <t>https://www.slicer.org/</t>
        </is>
      </c>
    </row>
    <row r="21">
      <c r="A21" s="4" t="inlineStr">
        <is>
          <t>A3</t>
        </is>
      </c>
      <c r="B21" s="6" t="inlineStr"/>
      <c r="C21" s="6" t="inlineStr"/>
      <c r="D21" s="18" t="n">
        <v>15</v>
      </c>
      <c r="E21" s="6" t="inlineStr">
        <is>
          <t>Recordar</t>
        </is>
      </c>
      <c r="F21" s="6" t="inlineStr">
        <is>
          <t>Ver la estructura del conjunto de radiografías de tórax. (Conjunto de datos)</t>
        </is>
      </c>
      <c r="G21" s="6" t="inlineStr">
        <is>
          <t>Cantidad de clases e imágenes</t>
        </is>
      </c>
      <c r="H21" s="5" t="inlineStr">
        <is>
          <t>https://www.kaggle.com/datasets/paultimothymooney/chest-xray-pneumonia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señales y objetivos. Pregunta inicial: ¿qué imagen te han hecho o conoces?</t>
        </is>
      </c>
      <c r="G26" s="6" t="inlineStr">
        <is>
          <t>Zoom o Teams, chat</t>
        </is>
      </c>
      <c r="H26" s="6" t="inlineStr"/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física básica y contraste de rayos X, TAC, ecografía, resonancia magnética y PET; riesgos por radiación; formato DICOM.</t>
        </is>
      </c>
      <c r="G27" s="6" t="inlineStr">
        <is>
          <t>Zoom, presentación</t>
        </is>
      </c>
      <c r="H27" s="5" t="inlineStr">
        <is>
          <t>https://www.nature.com/articles/sdata2017124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3D Slicer: cargar un estudio, ajustar ventana y nivel, medir una distancia y observar cortes axial, sagital y coronal.</t>
        </is>
      </c>
      <c r="G28" s="6" t="inlineStr">
        <is>
          <t>Zoom, Colab o software</t>
        </is>
      </c>
      <c r="H28" s="5" t="inlineStr">
        <is>
          <t>https://www.slicer.org/
https://wiki.cancerimagingarchive.net/display/Public/Collections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para tres patologías, elegir la modalidad más adecuada y justificar con contraste, riesgo y costo.</t>
        </is>
      </c>
      <c r="G30" s="6" t="inlineStr">
        <is>
          <t>Salas de Zoom, Google Docs</t>
        </is>
      </c>
      <c r="H30" s="5" t="inlineStr">
        <is>
          <t>https://wiki.cancerimagingarchive.net/display/Public/Collections
https://www.kaggle.com/datasets/paultimothymooney/chest-xray-pneumonia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defiende su elección. Discusión sobre acceso a estas tecnologías en hospitales de la región.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8 (introducción a deep learning).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40</v>
      </c>
      <c r="E37" s="6" t="inlineStr">
        <is>
          <t>Analizar</t>
        </is>
      </c>
      <c r="F37" s="6" t="inlineStr">
        <is>
          <t>Completar una tabla comparativa de las cinco modalidades (principio físico, contraste, riesgo, uso principal). (Documento de Google)</t>
        </is>
      </c>
      <c r="G37" s="6" t="inlineStr">
        <is>
          <t>Tabla completa</t>
        </is>
      </c>
      <c r="H37" s="5" t="inlineStr">
        <is>
          <t>https://www.nature.com/articles/sdata2017124</t>
        </is>
      </c>
    </row>
    <row r="38">
      <c r="A38" s="4" t="inlineStr">
        <is>
          <t>D2</t>
        </is>
      </c>
      <c r="B38" s="6" t="inlineStr"/>
      <c r="C38" s="6" t="inlineStr"/>
      <c r="D38" s="18" t="n">
        <v>30</v>
      </c>
      <c r="E38" s="6" t="inlineStr">
        <is>
          <t>Crear</t>
        </is>
      </c>
      <c r="F38" s="6" t="inlineStr">
        <is>
          <t>Redactar un plan de preprocesamiento para un conjunto de radiografías. (Aula virtual)</t>
        </is>
      </c>
      <c r="G38" s="6" t="inlineStr">
        <is>
          <t>Plan de una página</t>
        </is>
      </c>
      <c r="H38" s="5" t="inlineStr">
        <is>
          <t>https://www.kaggle.com/datasets/paultimothymooney/chest-xray-pneumonia</t>
        </is>
      </c>
    </row>
    <row r="39">
      <c r="A39" s="4" t="inlineStr">
        <is>
          <t>D3</t>
        </is>
      </c>
      <c r="B39" s="6" t="inlineStr"/>
      <c r="C39" s="6" t="inlineStr"/>
      <c r="D39" s="18" t="n">
        <v>20</v>
      </c>
      <c r="E39" s="6" t="inlineStr">
        <is>
          <t>Aplicar</t>
        </is>
      </c>
      <c r="F39" s="6" t="inlineStr">
        <is>
          <t>Practicar ventana y nivel en 3D Slicer con otro estudio. (3D Slicer)</t>
        </is>
      </c>
      <c r="G39" s="6" t="inlineStr">
        <is>
          <t>Captura con dos ventanas distintas</t>
        </is>
      </c>
      <c r="H39" s="5" t="inlineStr">
        <is>
          <t>https://www.slicer.org/</t>
        </is>
      </c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7" r:id="rId4"/>
    <hyperlink xmlns:r="http://schemas.openxmlformats.org/officeDocument/2006/relationships" ref="H28" r:id="rId5"/>
    <hyperlink xmlns:r="http://schemas.openxmlformats.org/officeDocument/2006/relationships" ref="H30" r:id="rId6"/>
    <hyperlink xmlns:r="http://schemas.openxmlformats.org/officeDocument/2006/relationships" ref="H37" r:id="rId7"/>
    <hyperlink xmlns:r="http://schemas.openxmlformats.org/officeDocument/2006/relationships" ref="H38" r:id="rId8"/>
    <hyperlink xmlns:r="http://schemas.openxmlformats.org/officeDocument/2006/relationships" ref="H39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8: Introducción al deep learning y a las redes neuronales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Explica cómo funciona una neurona artificial y una red multicapa, y entrena una red pequeña identificando el efecto de sus hiperparámetros.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Recordar los términos neurona, peso, sesgo, función de activación, capa y época.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el paso hacia adelante y la retropropagación con un ejemplo numérico simple.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Entrenar una red en TensorFlow Playground y en scikit-learn y observar su aprendizaje.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el efecto de la tasa de aprendizaje, el número de capas y la activación.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cuándo una red profunda supera a un modelo clásico.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Diseñar una arquitectura para un problema biomédico sencillo.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40</v>
      </c>
      <c r="E19" s="6" t="inlineStr">
        <is>
          <t>Comprender</t>
        </is>
      </c>
      <c r="F19" s="6" t="inlineStr">
        <is>
          <t>Cursar el módulo de redes neuronales del Machine Learning Crash Course. (Curso en línea)</t>
        </is>
      </c>
      <c r="G19" s="6" t="inlineStr">
        <is>
          <t>Resumen de cinco líneas</t>
        </is>
      </c>
      <c r="H19" s="5" t="inlineStr">
        <is>
          <t>https://developers.google.com/machine-learning/crash-course</t>
        </is>
      </c>
    </row>
    <row r="20">
      <c r="A20" s="4" t="inlineStr">
        <is>
          <t>A2</t>
        </is>
      </c>
      <c r="B20" s="6" t="inlineStr"/>
      <c r="C20" s="6" t="inlineStr"/>
      <c r="D20" s="18" t="n">
        <v>20</v>
      </c>
      <c r="E20" s="6" t="inlineStr">
        <is>
          <t>Aplicar</t>
        </is>
      </c>
      <c r="F20" s="6" t="inlineStr">
        <is>
          <t>Jugar 15 minutos con TensorFlow Playground y anotar qué cambia al agregar capas. (Simulador)</t>
        </is>
      </c>
      <c r="G20" s="6" t="inlineStr">
        <is>
          <t>Tres observaciones</t>
        </is>
      </c>
      <c r="H20" s="5" t="inlineStr">
        <is>
          <t>https://playground.tensorflow.org/</t>
        </is>
      </c>
    </row>
    <row r="21">
      <c r="A21" s="4" t="inlineStr">
        <is>
          <t>A3</t>
        </is>
      </c>
      <c r="B21" s="6" t="inlineStr"/>
      <c r="C21" s="6" t="inlineStr"/>
      <c r="D21" s="18" t="n">
        <v>20</v>
      </c>
      <c r="E21" s="6" t="inlineStr">
        <is>
          <t>Comprender</t>
        </is>
      </c>
      <c r="F21" s="6" t="inlineStr">
        <is>
          <t>Leer la sección de perceptrón multicapa de scikit-learn. (Guía de usuario)</t>
        </is>
      </c>
      <c r="G21" s="6" t="inlineStr">
        <is>
          <t>Fórmula de la neurona escrita a mano</t>
        </is>
      </c>
      <c r="H21" s="5" t="inlineStr">
        <is>
          <t>https://scikit-learn.org/stable/modules/neural_networks_supervised.html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imágenes médicas y de la tarea. Agenda: neurona, capa, entrenamiento.</t>
        </is>
      </c>
      <c r="G26" s="6" t="inlineStr">
        <is>
          <t>Zoom o Teams, chat</t>
        </is>
      </c>
      <c r="H26" s="5" t="inlineStr">
        <is>
          <t>https://developers.google.com/machine-learning/crash-course</t>
        </is>
      </c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neurona artificial, funciones de activación, red multicapa, función de pérdida, descenso del gradiente y retropropagación con un ejemplo numérico.</t>
        </is>
      </c>
      <c r="G27" s="6" t="inlineStr">
        <is>
          <t>Zoom, presentación</t>
        </is>
      </c>
      <c r="H27" s="5" t="inlineStr">
        <is>
          <t>https://developers.google.com/machine-learning/crash-course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TensorFlow Playground: clasificar un conjunto de espirales cambiando capas, neuronas y tasa de aprendizaje.</t>
        </is>
      </c>
      <c r="G28" s="6" t="inlineStr">
        <is>
          <t>Zoom, Colab o software</t>
        </is>
      </c>
      <c r="H28" s="5" t="inlineStr">
        <is>
          <t>https://playground.tensorflow.org/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en Playground, encontrar la red mínima que clasifique el conjunto de espirales y explicar por qué funciona.</t>
        </is>
      </c>
      <c r="G30" s="6" t="inlineStr">
        <is>
          <t>Salas de Zoom, Google Docs</t>
        </is>
      </c>
      <c r="H30" s="5" t="inlineStr">
        <is>
          <t>https://playground.tensorflow.org/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muestra su arquitectura. Discusión sobre sobreajuste y sobre el costo de datos y cómputo.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9 (redes neuronales en señales).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45</v>
      </c>
      <c r="E37" s="6" t="inlineStr">
        <is>
          <t>Aplicar</t>
        </is>
      </c>
      <c r="F37" s="6" t="inlineStr">
        <is>
          <t>Entrenar una red multicapa de scikit-learn en un conjunto tabular y comparar con k-vecinos. (Google Colab)</t>
        </is>
      </c>
      <c r="G37" s="6" t="inlineStr">
        <is>
          <t>Cuaderno con tabla de comparación</t>
        </is>
      </c>
      <c r="H37" s="5" t="inlineStr">
        <is>
          <t>https://scikit-learn.org/stable/modules/neural_networks_supervised.html
https://colab.research.google.com/</t>
        </is>
      </c>
    </row>
    <row r="38">
      <c r="A38" s="4" t="inlineStr">
        <is>
          <t>D2</t>
        </is>
      </c>
      <c r="B38" s="6" t="inlineStr"/>
      <c r="C38" s="6" t="inlineStr"/>
      <c r="D38" s="18" t="n">
        <v>25</v>
      </c>
      <c r="E38" s="6" t="inlineStr">
        <is>
          <t>Evaluar</t>
        </is>
      </c>
      <c r="F38" s="6" t="inlineStr">
        <is>
          <t>Escribir cuándo usarías una red profunda y cuándo un modelo clásico. (Aula virtual)</t>
        </is>
      </c>
      <c r="G38" s="6" t="inlineStr">
        <is>
          <t>Texto de media página</t>
        </is>
      </c>
      <c r="H38" s="5" t="inlineStr">
        <is>
          <t>https://developers.google.com/machine-learning/crash-course</t>
        </is>
      </c>
    </row>
    <row r="39">
      <c r="A39" s="4" t="inlineStr">
        <is>
          <t>D3</t>
        </is>
      </c>
      <c r="B39" s="6" t="inlineStr"/>
      <c r="C39" s="6" t="inlineStr"/>
      <c r="D39" s="18" t="n">
        <v>20</v>
      </c>
      <c r="E39" s="6" t="inlineStr">
        <is>
          <t>Crear</t>
        </is>
      </c>
      <c r="F39" s="6" t="inlineStr">
        <is>
          <t>Dibujar una arquitectura de red para clasificar latidos de ECG. (Documento de Google)</t>
        </is>
      </c>
      <c r="G39" s="6" t="inlineStr">
        <is>
          <t>Diagrama con dimensiones de cada capa</t>
        </is>
      </c>
      <c r="H39" s="6" t="inlineStr"/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6" r:id="rId4"/>
    <hyperlink xmlns:r="http://schemas.openxmlformats.org/officeDocument/2006/relationships" ref="H27" r:id="rId5"/>
    <hyperlink xmlns:r="http://schemas.openxmlformats.org/officeDocument/2006/relationships" ref="H28" r:id="rId6"/>
    <hyperlink xmlns:r="http://schemas.openxmlformats.org/officeDocument/2006/relationships" ref="H30" r:id="rId7"/>
    <hyperlink xmlns:r="http://schemas.openxmlformats.org/officeDocument/2006/relationships" ref="H37" r:id="rId8"/>
    <hyperlink xmlns:r="http://schemas.openxmlformats.org/officeDocument/2006/relationships" ref="H38" r:id="rId9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9: Redes neuronales aplicadas a señales biomédicas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Entrena y evalúa una red neuronal multicapa para clasificar latidos de ECG o gestos de EMG, controlando el sobreajuste.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Recordar los conceptos de regularización, dropout y detención temprana.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por qué se normalizan las entradas y cómo se codifican las clases.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Entrenar una red multicapa con las características de la semana 5 o 6.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las curvas de pérdida para detectar sobreajuste y subajuste.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el modelo con sensibilidad, especificidad y validación cruzada.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Mejorar la red con regularización y comparar antes y después.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30</v>
      </c>
      <c r="E19" s="6" t="inlineStr">
        <is>
          <t>Aplicar</t>
        </is>
      </c>
      <c r="F19" s="6" t="inlineStr">
        <is>
          <t>Repasar el cuaderno de ECG o EMG y preparar la matriz de características. (Google Colab)</t>
        </is>
      </c>
      <c r="G19" s="6" t="inlineStr">
        <is>
          <t>Matriz de características lista</t>
        </is>
      </c>
      <c r="H19" s="5" t="inlineStr">
        <is>
          <t>https://colab.research.google.com/</t>
        </is>
      </c>
    </row>
    <row r="20">
      <c r="A20" s="4" t="inlineStr">
        <is>
          <t>A2</t>
        </is>
      </c>
      <c r="B20" s="6" t="inlineStr"/>
      <c r="C20" s="6" t="inlineStr"/>
      <c r="D20" s="18" t="n">
        <v>25</v>
      </c>
      <c r="E20" s="6" t="inlineStr">
        <is>
          <t>Comprender</t>
        </is>
      </c>
      <c r="F20" s="6" t="inlineStr">
        <is>
          <t>Leer la sección de redes neuronales de scikit-learn sobre regularización. (Guía de usuario)</t>
        </is>
      </c>
      <c r="G20" s="6" t="inlineStr">
        <is>
          <t>Definición de regularización</t>
        </is>
      </c>
      <c r="H20" s="5" t="inlineStr">
        <is>
          <t>https://scikit-learn.org/stable/modules/neural_networks_supervised.html</t>
        </is>
      </c>
    </row>
    <row r="21">
      <c r="A21" s="4" t="inlineStr">
        <is>
          <t>A3</t>
        </is>
      </c>
      <c r="B21" s="6" t="inlineStr"/>
      <c r="C21" s="6" t="inlineStr"/>
      <c r="D21" s="18" t="n">
        <v>15</v>
      </c>
      <c r="E21" s="6" t="inlineStr">
        <is>
          <t>Recordar</t>
        </is>
      </c>
      <c r="F21" s="6" t="inlineStr">
        <is>
          <t>Revisar el conjunto MIT-BIH y decidir cuáles clases de latido usar. (Conjunto de datos)</t>
        </is>
      </c>
      <c r="G21" s="6" t="inlineStr">
        <is>
          <t>Lista de clases elegidas</t>
        </is>
      </c>
      <c r="H21" s="5" t="inlineStr">
        <is>
          <t>https://physionet.org/content/mitdb/1.0.0/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del entrenamiento de una red y de las tareas. Objetivo: red multicapa sobre señales reales.</t>
        </is>
      </c>
      <c r="G26" s="6" t="inlineStr">
        <is>
          <t>Zoom o Teams, chat</t>
        </is>
      </c>
      <c r="H26" s="5" t="inlineStr">
        <is>
          <t>https://scikit-learn.org/stable/modules/neural_networks_supervised.html</t>
        </is>
      </c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preparación de entradas, arquitectura, regularización, detención temprana y curvas de aprendizaje. Métricas clínicas.</t>
        </is>
      </c>
      <c r="G27" s="6" t="inlineStr">
        <is>
          <t>Zoom, presentación</t>
        </is>
      </c>
      <c r="H27" s="5" t="inlineStr">
        <is>
          <t>https://scikit-learn.org/stable/modules/neural_networks_supervised.html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Colab: entrenar una red multicapa con características de ECG y graficar la pérdida en entrenamiento y validación.</t>
        </is>
      </c>
      <c r="G28" s="6" t="inlineStr">
        <is>
          <t>Zoom, Colab o software</t>
        </is>
      </c>
      <c r="H28" s="5" t="inlineStr">
        <is>
          <t>https://colab.research.google.com/
https://physionet.org/content/mitdb/1.0.0/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agregar regularización o detención temprana y comparar métricas antes y después del cambio.</t>
        </is>
      </c>
      <c r="G30" s="6" t="inlineStr">
        <is>
          <t>Salas de Zoom, Google Docs</t>
        </is>
      </c>
      <c r="H30" s="5" t="inlineStr">
        <is>
          <t>https://physionet.org/content/mitdb/1.0.0/
https://archive.ics.uci.edu/dataset/278/emg+dataset+in+lower+limb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presenta su mejora. Discusión sobre datos desbalanceados y sobre por qué la exactitud engaña.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10 (redes convolucionales).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50</v>
      </c>
      <c r="E37" s="6" t="inlineStr">
        <is>
          <t>Aplicar</t>
        </is>
      </c>
      <c r="F37" s="6" t="inlineStr">
        <is>
          <t>Entregar el cuaderno con la red, las curvas de pérdida y las métricas clínicas. (Google Colab)</t>
        </is>
      </c>
      <c r="G37" s="6" t="inlineStr">
        <is>
          <t>Cuaderno con gráficas</t>
        </is>
      </c>
      <c r="H37" s="5" t="inlineStr">
        <is>
          <t>https://colab.research.google.com/</t>
        </is>
      </c>
    </row>
    <row r="38">
      <c r="A38" s="4" t="inlineStr">
        <is>
          <t>D2</t>
        </is>
      </c>
      <c r="B38" s="6" t="inlineStr"/>
      <c r="C38" s="6" t="inlineStr"/>
      <c r="D38" s="18" t="n">
        <v>20</v>
      </c>
      <c r="E38" s="6" t="inlineStr">
        <is>
          <t>Analizar</t>
        </is>
      </c>
      <c r="F38" s="6" t="inlineStr">
        <is>
          <t>Redactar qué falló primero al entrenar y cómo lo resolviste. (Aula virtual)</t>
        </is>
      </c>
      <c r="G38" s="6" t="inlineStr">
        <is>
          <t>Texto de media página</t>
        </is>
      </c>
      <c r="H38" s="6" t="inlineStr"/>
    </row>
    <row r="39">
      <c r="A39" s="4" t="inlineStr">
        <is>
          <t>D3</t>
        </is>
      </c>
      <c r="B39" s="6" t="inlineStr"/>
      <c r="C39" s="6" t="inlineStr"/>
      <c r="D39" s="18" t="n">
        <v>20</v>
      </c>
      <c r="E39" s="6" t="inlineStr">
        <is>
          <t>Crear</t>
        </is>
      </c>
      <c r="F39" s="6" t="inlineStr">
        <is>
          <t>Proponer cómo manejarías las clases desbalanceadas en un hospital. (Foro)</t>
        </is>
      </c>
      <c r="G39" s="6" t="inlineStr">
        <is>
          <t>Propuesta en el foro</t>
        </is>
      </c>
      <c r="H39" s="5" t="inlineStr">
        <is>
          <t>https://physionet.org/content/mitdb/1.0.0/</t>
        </is>
      </c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6" r:id="rId4"/>
    <hyperlink xmlns:r="http://schemas.openxmlformats.org/officeDocument/2006/relationships" ref="H27" r:id="rId5"/>
    <hyperlink xmlns:r="http://schemas.openxmlformats.org/officeDocument/2006/relationships" ref="H28" r:id="rId6"/>
    <hyperlink xmlns:r="http://schemas.openxmlformats.org/officeDocument/2006/relationships" ref="H30" r:id="rId7"/>
    <hyperlink xmlns:r="http://schemas.openxmlformats.org/officeDocument/2006/relationships" ref="H37" r:id="rId8"/>
    <hyperlink xmlns:r="http://schemas.openxmlformats.org/officeDocument/2006/relationships" ref="H39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10: Redes neuronales convolucionales (CNN)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Explica las capas de una CNN (convolución, activación, pooling, capa densa) y entrena una CNN pequeña sobre imágenes.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Nombrar las capas de una CNN y el papel de cada una.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cómo un filtro convolucional detecta bordes y patrones.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Construir y entrenar una CNN pequeña en Colab con Keras.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cómo cambian los mapas de características entre capas.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el número de filtros y de capas frente a la exactitud y al costo de cómputo.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Diseñar una CNN para radiografías de tórax.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40</v>
      </c>
      <c r="E19" s="6" t="inlineStr">
        <is>
          <t>Comprender</t>
        </is>
      </c>
      <c r="F19" s="6" t="inlineStr">
        <is>
          <t>Leer las notas de CS231n sobre CNN hasta la sección de capas de pooling. (Notas del curso)</t>
        </is>
      </c>
      <c r="G19" s="6" t="inlineStr">
        <is>
          <t>Esquema de una CNN con dimensiones</t>
        </is>
      </c>
      <c r="H19" s="5" t="inlineStr">
        <is>
          <t>https://cs231n.github.io/convolutional-networks/</t>
        </is>
      </c>
    </row>
    <row r="20">
      <c r="A20" s="4" t="inlineStr">
        <is>
          <t>A2</t>
        </is>
      </c>
      <c r="B20" s="6" t="inlineStr"/>
      <c r="C20" s="6" t="inlineStr"/>
      <c r="D20" s="18" t="n">
        <v>30</v>
      </c>
      <c r="E20" s="6" t="inlineStr">
        <is>
          <t>Comprender</t>
        </is>
      </c>
      <c r="F20" s="6" t="inlineStr">
        <is>
          <t>Leer el tutorial de CNN de TensorFlow. (Tutorial)</t>
        </is>
      </c>
      <c r="G20" s="6" t="inlineStr">
        <is>
          <t>Dos preguntas sobre el código</t>
        </is>
      </c>
      <c r="H20" s="5" t="inlineStr">
        <is>
          <t>https://www.tensorflow.org/tutorials/images/cnn</t>
        </is>
      </c>
    </row>
    <row r="21">
      <c r="A21" s="4" t="inlineStr">
        <is>
          <t>A3</t>
        </is>
      </c>
      <c r="B21" s="6" t="inlineStr"/>
      <c r="C21" s="6" t="inlineStr"/>
      <c r="D21" s="18" t="n">
        <v>10</v>
      </c>
      <c r="E21" s="6" t="inlineStr">
        <is>
          <t>Aplicar</t>
        </is>
      </c>
      <c r="F21" s="6" t="inlineStr">
        <is>
          <t>Activar la GPU en Colab y ejecutar la celda de prueba. (Google Colab)</t>
        </is>
      </c>
      <c r="G21" s="6" t="inlineStr">
        <is>
          <t>Captura de la GPU activa</t>
        </is>
      </c>
      <c r="H21" s="5" t="inlineStr">
        <is>
          <t>https://colab.research.google.com/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redes multicapa y de la tarea. Pregunta: ¿por qué una red densa es mala para imágenes?</t>
        </is>
      </c>
      <c r="G26" s="6" t="inlineStr">
        <is>
          <t>Zoom o Teams, chat</t>
        </is>
      </c>
      <c r="H26" s="5" t="inlineStr">
        <is>
          <t>https://cs231n.github.io/convolutional-networks/</t>
        </is>
      </c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convolución, filtros, mapas de características, pooling, capas densas, receptive field y parámetros.</t>
        </is>
      </c>
      <c r="G27" s="6" t="inlineStr">
        <is>
          <t>Zoom, presentación</t>
        </is>
      </c>
      <c r="H27" s="5" t="inlineStr">
        <is>
          <t>https://cs231n.github.io/convolutional-networks/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Colab: construir la CNN del tutorial, entrenarla y visualizar los mapas de características de una capa.</t>
        </is>
      </c>
      <c r="G28" s="6" t="inlineStr">
        <is>
          <t>Zoom, Colab o software</t>
        </is>
      </c>
      <c r="H28" s="5" t="inlineStr">
        <is>
          <t>https://www.tensorflow.org/tutorials/images/cnn
https://colab.research.google.com/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variar filtros y capas, registrar exactitud y tiempo de entrenamiento y explicar la relación.</t>
        </is>
      </c>
      <c r="G30" s="6" t="inlineStr">
        <is>
          <t>Salas de Zoom, Google Docs</t>
        </is>
      </c>
      <c r="H30" s="5" t="inlineStr">
        <is>
          <t>https://www.tensorflow.org/tutorials/images/cnn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presenta su configuración. Discusión sobre datos etiquetados escasos en medicina.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11 (clasificación de tumores y patologías).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45</v>
      </c>
      <c r="E37" s="6" t="inlineStr">
        <is>
          <t>Aplicar</t>
        </is>
      </c>
      <c r="F37" s="6" t="inlineStr">
        <is>
          <t>Entrenar la CNN con dos configuraciones y comparar exactitud y parámetros. (Google Colab)</t>
        </is>
      </c>
      <c r="G37" s="6" t="inlineStr">
        <is>
          <t>Cuaderno con tabla comparativa</t>
        </is>
      </c>
      <c r="H37" s="5" t="inlineStr">
        <is>
          <t>https://www.tensorflow.org/tutorials/images/cnn
https://colab.research.google.com/</t>
        </is>
      </c>
    </row>
    <row r="38">
      <c r="A38" s="4" t="inlineStr">
        <is>
          <t>D2</t>
        </is>
      </c>
      <c r="B38" s="6" t="inlineStr"/>
      <c r="C38" s="6" t="inlineStr"/>
      <c r="D38" s="18" t="n">
        <v>25</v>
      </c>
      <c r="E38" s="6" t="inlineStr">
        <is>
          <t>Analizar</t>
        </is>
      </c>
      <c r="F38" s="6" t="inlineStr">
        <is>
          <t>Explicar en un párrafo qué aprende la primera y la última capa convolucional. (Aula virtual)</t>
        </is>
      </c>
      <c r="G38" s="6" t="inlineStr">
        <is>
          <t>Párrafo con dos ejemplos</t>
        </is>
      </c>
      <c r="H38" s="5" t="inlineStr">
        <is>
          <t>https://cs231n.github.io/convolutional-networks/</t>
        </is>
      </c>
    </row>
    <row r="39">
      <c r="A39" s="4" t="inlineStr">
        <is>
          <t>D3</t>
        </is>
      </c>
      <c r="B39" s="6" t="inlineStr"/>
      <c r="C39" s="6" t="inlineStr"/>
      <c r="D39" s="18" t="n">
        <v>25</v>
      </c>
      <c r="E39" s="6" t="inlineStr">
        <is>
          <t>Crear</t>
        </is>
      </c>
      <c r="F39" s="6" t="inlineStr">
        <is>
          <t>Dibujar una arquitectura CNN para radiografías de tórax con dimensiones de entrada y salida. (Documento de Google)</t>
        </is>
      </c>
      <c r="G39" s="6" t="inlineStr">
        <is>
          <t>Diagrama de arquitectura</t>
        </is>
      </c>
      <c r="H39" s="5" t="inlineStr">
        <is>
          <t>https://www.kaggle.com/datasets/paultimothymooney/chest-xray-pneumonia</t>
        </is>
      </c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6" r:id="rId4"/>
    <hyperlink xmlns:r="http://schemas.openxmlformats.org/officeDocument/2006/relationships" ref="H27" r:id="rId5"/>
    <hyperlink xmlns:r="http://schemas.openxmlformats.org/officeDocument/2006/relationships" ref="H28" r:id="rId6"/>
    <hyperlink xmlns:r="http://schemas.openxmlformats.org/officeDocument/2006/relationships" ref="H30" r:id="rId7"/>
    <hyperlink xmlns:r="http://schemas.openxmlformats.org/officeDocument/2006/relationships" ref="H37" r:id="rId8"/>
    <hyperlink xmlns:r="http://schemas.openxmlformats.org/officeDocument/2006/relationships" ref="H38" r:id="rId9"/>
    <hyperlink xmlns:r="http://schemas.openxmlformats.org/officeDocument/2006/relationships" ref="H39" r:id="rId10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11: Clasificación de tumores y patologías con redes convolucionales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Entrena y evalúa una CNN para clasificar imágenes médicas (radiografía de tórax) y explica su desempeño con métricas clínicas.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Recordar la matriz de confusión, sensibilidad, especificidad y curva ROC.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qué es aprendizaje por transferencia y por qué se usa en medicina.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Entrenar una CNN para distinguir radiografías normales de neumonía.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los falsos negativos y el efecto del desbalance de clases.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si el modelo es seguro para uso clínico y qué validaciones faltan.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Crear un plan de validación para llevar el modelo a un hospital.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25</v>
      </c>
      <c r="E19" s="6" t="inlineStr">
        <is>
          <t>Comprender</t>
        </is>
      </c>
      <c r="F19" s="6" t="inlineStr">
        <is>
          <t>Explorar el conjunto de radiografías de tórax y contar imágenes por clase. (Conjunto de datos)</t>
        </is>
      </c>
      <c r="G19" s="6" t="inlineStr">
        <is>
          <t>Tabla de imágenes por clase</t>
        </is>
      </c>
      <c r="H19" s="5" t="inlineStr">
        <is>
          <t>https://www.kaggle.com/datasets/paultimothymooney/chest-xray-pneumonia</t>
        </is>
      </c>
    </row>
    <row r="20">
      <c r="A20" s="4" t="inlineStr">
        <is>
          <t>A2</t>
        </is>
      </c>
      <c r="B20" s="6" t="inlineStr"/>
      <c r="C20" s="6" t="inlineStr"/>
      <c r="D20" s="18" t="n">
        <v>30</v>
      </c>
      <c r="E20" s="6" t="inlineStr">
        <is>
          <t>Recordar</t>
        </is>
      </c>
      <c r="F20" s="6" t="inlineStr">
        <is>
          <t>Repasar el tutorial de CNN y las métricas clínicas. (Tutorial)</t>
        </is>
      </c>
      <c r="G20" s="6" t="inlineStr">
        <is>
          <t>Definiciones de sensibilidad y AUC</t>
        </is>
      </c>
      <c r="H20" s="5" t="inlineStr">
        <is>
          <t>https://www.tensorflow.org/tutorials/images/cnn
https://scikit-learn.org/stable/user_guide.html</t>
        </is>
      </c>
    </row>
    <row r="21">
      <c r="A21" s="4" t="inlineStr">
        <is>
          <t>A3</t>
        </is>
      </c>
      <c r="B21" s="6" t="inlineStr"/>
      <c r="C21" s="6" t="inlineStr"/>
      <c r="D21" s="18" t="n">
        <v>20</v>
      </c>
      <c r="E21" s="6" t="inlineStr">
        <is>
          <t>Comprender</t>
        </is>
      </c>
      <c r="F21" s="6" t="inlineStr">
        <is>
          <t>Revisar una colección de TCIA con tumores y anotar la modalidad. (Colecciones de imagen)</t>
        </is>
      </c>
      <c r="G21" s="6" t="inlineStr">
        <is>
          <t>Colección y modalidad</t>
        </is>
      </c>
      <c r="H21" s="5" t="inlineStr">
        <is>
          <t>https://wiki.cancerimagingarchive.net/display/Public/Collections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CNN y de la tarea. Objetivo: llevar una CNN a un problema clínico real.</t>
        </is>
      </c>
      <c r="G26" s="6" t="inlineStr">
        <is>
          <t>Zoom o Teams, chat</t>
        </is>
      </c>
      <c r="H26" s="5" t="inlineStr">
        <is>
          <t>https://www.kaggle.com/datasets/paultimothymooney/chest-xray-pneumonia</t>
        </is>
      </c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clasificación de imágenes médicas, aprendizaje por transferencia, aumento de datos, desbalance de clases, métricas clínicas y curva ROC.</t>
        </is>
      </c>
      <c r="G27" s="6" t="inlineStr">
        <is>
          <t>Zoom, presentación</t>
        </is>
      </c>
      <c r="H27" s="5" t="inlineStr">
        <is>
          <t>https://www.tensorflow.org/tutorials/images/cnn
https://www.nature.com/articles/sdata2017124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Colab: cargar las radiografías, entrenar una CNN y calcular matriz de confusión y AUC.</t>
        </is>
      </c>
      <c r="G28" s="6" t="inlineStr">
        <is>
          <t>Zoom, Colab o software</t>
        </is>
      </c>
      <c r="H28" s="5" t="inlineStr">
        <is>
          <t>https://www.kaggle.com/datasets/paultimothymooney/chest-xray-pneumonia
https://colab.research.google.com/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analizar los falsos negativos del modelo y proponer un ajuste (pesos de clase o aumento de datos).</t>
        </is>
      </c>
      <c r="G30" s="6" t="inlineStr">
        <is>
          <t>Salas de Zoom, Google Docs</t>
        </is>
      </c>
      <c r="H30" s="5" t="inlineStr">
        <is>
          <t>https://www.kaggle.com/datasets/paultimothymooney/chest-xray-pneumonia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argumenta si el modelo sería seguro en una consulta real. Discusión sobre sesgo de los datos y regulación.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12 (segmentación con U-Net).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50</v>
      </c>
      <c r="E37" s="6" t="inlineStr">
        <is>
          <t>Aplicar</t>
        </is>
      </c>
      <c r="F37" s="6" t="inlineStr">
        <is>
          <t>Entregar el cuaderno con la CNN, la matriz de confusión y la curva ROC. (Google Colab)</t>
        </is>
      </c>
      <c r="G37" s="6" t="inlineStr">
        <is>
          <t>Cuaderno con métricas</t>
        </is>
      </c>
      <c r="H37" s="5" t="inlineStr">
        <is>
          <t>https://www.kaggle.com/datasets/paultimothymooney/chest-xray-pneumonia
https://colab.research.google.com/</t>
        </is>
      </c>
    </row>
    <row r="38">
      <c r="A38" s="4" t="inlineStr">
        <is>
          <t>D2</t>
        </is>
      </c>
      <c r="B38" s="6" t="inlineStr"/>
      <c r="C38" s="6" t="inlineStr"/>
      <c r="D38" s="18" t="n">
        <v>30</v>
      </c>
      <c r="E38" s="6" t="inlineStr">
        <is>
          <t>Crear</t>
        </is>
      </c>
      <c r="F38" s="6" t="inlineStr">
        <is>
          <t>Redactar un plan de validación clínica del modelo (datos externos, sesgos, supervisión médica). (Aula virtual)</t>
        </is>
      </c>
      <c r="G38" s="6" t="inlineStr">
        <is>
          <t>Plan de una página</t>
        </is>
      </c>
      <c r="H38" s="5" t="inlineStr">
        <is>
          <t>https://www.nature.com/articles/sdata2017124</t>
        </is>
      </c>
    </row>
    <row r="39">
      <c r="A39" s="4" t="inlineStr">
        <is>
          <t>D3</t>
        </is>
      </c>
      <c r="B39" s="6" t="inlineStr"/>
      <c r="C39" s="6" t="inlineStr"/>
      <c r="D39" s="18" t="n">
        <v>15</v>
      </c>
      <c r="E39" s="6" t="inlineStr">
        <is>
          <t>Evaluar</t>
        </is>
      </c>
      <c r="F39" s="6" t="inlineStr">
        <is>
          <t>Evaluar en el foro el plan de un compañero con la rúbrica. (Foro)</t>
        </is>
      </c>
      <c r="G39" s="6" t="inlineStr">
        <is>
          <t>Rúbrica completada</t>
        </is>
      </c>
      <c r="H39" s="6" t="inlineStr"/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6" r:id="rId4"/>
    <hyperlink xmlns:r="http://schemas.openxmlformats.org/officeDocument/2006/relationships" ref="H27" r:id="rId5"/>
    <hyperlink xmlns:r="http://schemas.openxmlformats.org/officeDocument/2006/relationships" ref="H28" r:id="rId6"/>
    <hyperlink xmlns:r="http://schemas.openxmlformats.org/officeDocument/2006/relationships" ref="H30" r:id="rId7"/>
    <hyperlink xmlns:r="http://schemas.openxmlformats.org/officeDocument/2006/relationships" ref="H37" r:id="rId8"/>
    <hyperlink xmlns:r="http://schemas.openxmlformats.org/officeDocument/2006/relationships" ref="H38" r:id="rId9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12: Segmentación de tumores cerebrales con la arquitectura U-Net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Explica la arquitectura U-Net y segmenta anomalías en resonancia magnética cerebral, evaluando el resultado con Dice e IoU.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Nombrar las partes de U-Net: camino de contracción, camino de expansión y conexiones de salto.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por qué las conexiones de salto conservan detalle espacial.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Ejecutar un U-Net sobre cortes de resonancia FLAIR del conjunto LGG.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máscaras predichas frente a las de referencia e identificar fallos.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la segmentación con Dice e IoU y decidir si es útil clínicamente.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Proponer una modificación a U-Net (profundidad, pérdida o aumento de datos).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35</v>
      </c>
      <c r="E19" s="6" t="inlineStr">
        <is>
          <t>Comprender</t>
        </is>
      </c>
      <c r="F19" s="6" t="inlineStr">
        <is>
          <t>Leer el resumen y la figura de arquitectura del artículo de U-Net. (Artículo)</t>
        </is>
      </c>
      <c r="G19" s="6" t="inlineStr">
        <is>
          <t>Dibujo de la arquitectura</t>
        </is>
      </c>
      <c r="H19" s="5" t="inlineStr">
        <is>
          <t>https://arxiv.org/abs/1505.04597</t>
        </is>
      </c>
    </row>
    <row r="20">
      <c r="A20" s="4" t="inlineStr">
        <is>
          <t>A2</t>
        </is>
      </c>
      <c r="B20" s="6" t="inlineStr"/>
      <c r="C20" s="6" t="inlineStr"/>
      <c r="D20" s="18" t="n">
        <v>20</v>
      </c>
      <c r="E20" s="6" t="inlineStr">
        <is>
          <t>Comprender</t>
        </is>
      </c>
      <c r="F20" s="6" t="inlineStr">
        <is>
          <t>Explorar el conjunto LGG y ver ejemplos de imágenes y máscaras. (Conjunto de datos)</t>
        </is>
      </c>
      <c r="G20" s="6" t="inlineStr">
        <is>
          <t>Cantidad de imágenes y máscaras</t>
        </is>
      </c>
      <c r="H20" s="5" t="inlineStr">
        <is>
          <t>https://www.kaggle.com/datasets/mateuszbuda/lgg-mri-segmentation</t>
        </is>
      </c>
    </row>
    <row r="21">
      <c r="A21" s="4" t="inlineStr">
        <is>
          <t>A3</t>
        </is>
      </c>
      <c r="B21" s="6" t="inlineStr"/>
      <c r="C21" s="6" t="inlineStr"/>
      <c r="D21" s="18" t="n">
        <v>25</v>
      </c>
      <c r="E21" s="6" t="inlineStr">
        <is>
          <t>Comprender</t>
        </is>
      </c>
      <c r="F21" s="6" t="inlineStr">
        <is>
          <t>Leer el tutorial de segmentación de TensorFlow. (Tutorial)</t>
        </is>
      </c>
      <c r="G21" s="6" t="inlineStr">
        <is>
          <t>Dos preguntas sobre el código</t>
        </is>
      </c>
      <c r="H21" s="5" t="inlineStr">
        <is>
          <t>https://www.tensorflow.org/tutorials/images/segmentation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clasificación con CNN. Diferencia entre clasificar una imagen y segmentar píxeles.</t>
        </is>
      </c>
      <c r="G26" s="6" t="inlineStr">
        <is>
          <t>Zoom o Teams, chat</t>
        </is>
      </c>
      <c r="H26" s="5" t="inlineStr">
        <is>
          <t>https://arxiv.org/abs/1505.04597</t>
        </is>
      </c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U-Net paso a paso (contracción, cuello, expansión, saltos), pérdidas (entropía cruzada, Dice) y métricas (Dice, IoU).</t>
        </is>
      </c>
      <c r="G27" s="6" t="inlineStr">
        <is>
          <t>Zoom, presentación</t>
        </is>
      </c>
      <c r="H27" s="5" t="inlineStr">
        <is>
          <t>https://arxiv.org/abs/1505.04597
https://www.tensorflow.org/tutorials/images/segmentation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 en Colab: cargar cortes FLAIR y máscaras del conjunto LGG, predecir con un U-Net y superponer la máscara.</t>
        </is>
      </c>
      <c r="G28" s="6" t="inlineStr">
        <is>
          <t>Zoom, Colab o software</t>
        </is>
      </c>
      <c r="H28" s="5" t="inlineStr">
        <is>
          <t>https://www.kaggle.com/datasets/mateuszbuda/lgg-mri-segmentation
https://github.com/mateuszbuda/brain-segmentation-pytorch
https://colab.research.google.com/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comparar máscaras predichas y de referencia, calcular Dice y describir tres errores típicos.</t>
        </is>
      </c>
      <c r="G30" s="6" t="inlineStr">
        <is>
          <t>Salas de Zoom, Google Docs</t>
        </is>
      </c>
      <c r="H30" s="5" t="inlineStr">
        <is>
          <t>https://www.kaggle.com/datasets/mateuszbuda/lgg-mri-segmentation
https://monai.io/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presenta un caso de fallo. Discusión sobre el uso de la segmentación en planificación quirúrgica y radioterapia.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13 (biomecánica del movimiento).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45</v>
      </c>
      <c r="E37" s="6" t="inlineStr">
        <is>
          <t>Aplicar</t>
        </is>
      </c>
      <c r="F37" s="6" t="inlineStr">
        <is>
          <t>Calcular Dice e IoU en veinte cortes y graficar la distribución. (Google Colab)</t>
        </is>
      </c>
      <c r="G37" s="6" t="inlineStr">
        <is>
          <t>Cuaderno con gráfica</t>
        </is>
      </c>
      <c r="H37" s="5" t="inlineStr">
        <is>
          <t>https://www.kaggle.com/datasets/mateuszbuda/lgg-mri-segmentation
https://github.com/mateuszbuda/brain-segmentation-pytorch</t>
        </is>
      </c>
    </row>
    <row r="38">
      <c r="A38" s="4" t="inlineStr">
        <is>
          <t>D2</t>
        </is>
      </c>
      <c r="B38" s="6" t="inlineStr"/>
      <c r="C38" s="6" t="inlineStr"/>
      <c r="D38" s="18" t="n">
        <v>25</v>
      </c>
      <c r="E38" s="6" t="inlineStr">
        <is>
          <t>Analizar</t>
        </is>
      </c>
      <c r="F38" s="6" t="inlineStr">
        <is>
          <t>Explicar en un párrafo tres fallos de segmentación y cómo los corregirías. (Aula virtual)</t>
        </is>
      </c>
      <c r="G38" s="6" t="inlineStr">
        <is>
          <t>Párrafo con tres fallos</t>
        </is>
      </c>
      <c r="H38" s="5" t="inlineStr">
        <is>
          <t>https://arxiv.org/abs/1505.04597</t>
        </is>
      </c>
    </row>
    <row r="39">
      <c r="A39" s="4" t="inlineStr">
        <is>
          <t>D3</t>
        </is>
      </c>
      <c r="B39" s="6" t="inlineStr"/>
      <c r="C39" s="6" t="inlineStr"/>
      <c r="D39" s="18" t="n">
        <v>25</v>
      </c>
      <c r="E39" s="6" t="inlineStr">
        <is>
          <t>Crear</t>
        </is>
      </c>
      <c r="F39" s="6" t="inlineStr">
        <is>
          <t>Proponer una modificación a U-Net y justificar su efecto esperado. (Foro)</t>
        </is>
      </c>
      <c r="G39" s="6" t="inlineStr">
        <is>
          <t>Propuesta en el foro</t>
        </is>
      </c>
      <c r="H39" s="5" t="inlineStr">
        <is>
          <t>https://monai.io/</t>
        </is>
      </c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6" r:id="rId4"/>
    <hyperlink xmlns:r="http://schemas.openxmlformats.org/officeDocument/2006/relationships" ref="H27" r:id="rId5"/>
    <hyperlink xmlns:r="http://schemas.openxmlformats.org/officeDocument/2006/relationships" ref="H28" r:id="rId6"/>
    <hyperlink xmlns:r="http://schemas.openxmlformats.org/officeDocument/2006/relationships" ref="H30" r:id="rId7"/>
    <hyperlink xmlns:r="http://schemas.openxmlformats.org/officeDocument/2006/relationships" ref="H37" r:id="rId8"/>
    <hyperlink xmlns:r="http://schemas.openxmlformats.org/officeDocument/2006/relationships" ref="H38" r:id="rId9"/>
    <hyperlink xmlns:r="http://schemas.openxmlformats.org/officeDocument/2006/relationships" ref="H39" r:id="rId10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13: Biomecánica del movimiento y esfuerzos de tensión y compresión en huesos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Describe el movimiento del cuerpo con variables biomecánicas y calcula esfuerzo, deformación y esfuerzo de flexión en un hueso largo con sus ecuaciones.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Recordar las ecuaciones de esfuerzo (sigma = F/A), deformación (epsilon = dL/L0) y módulo de Young (E = sigma/epsilon).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la diferencia entre tensión, compresión, flexión y torsión en un hueso.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Resolver paso a paso el esfuerzo axial y de flexión de un fémur modelado como cilindro hueco.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cómo cambia el esfuerzo al variar el diámetro interno o la carga.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el resultado frente a la resistencia del hueso cortical y calcular el factor de seguridad.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Proponer un modelo simplificado de la marcha con OpenSim o con cálculo manual.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40</v>
      </c>
      <c r="E19" s="6" t="inlineStr">
        <is>
          <t>Comprender</t>
        </is>
      </c>
      <c r="F19" s="6" t="inlineStr">
        <is>
          <t>Leer la sección de esfuerzo, deformación y módulo elástico. (Libro abierto)</t>
        </is>
      </c>
      <c r="G19" s="6" t="inlineStr">
        <is>
          <t>Resumen con las tres ecuaciones</t>
        </is>
      </c>
      <c r="H19" s="5" t="inlineStr">
        <is>
          <t>https://openstax.org/books/university-physics-volume-1/pages/12-3-stress-strain-and-elastic-modulus</t>
        </is>
      </c>
    </row>
    <row r="20">
      <c r="A20" s="4" t="inlineStr">
        <is>
          <t>A2</t>
        </is>
      </c>
      <c r="B20" s="6" t="inlineStr"/>
      <c r="C20" s="6" t="inlineStr"/>
      <c r="D20" s="18" t="n">
        <v>25</v>
      </c>
      <c r="E20" s="6" t="inlineStr">
        <is>
          <t>Comprender</t>
        </is>
      </c>
      <c r="F20" s="6" t="inlineStr">
        <is>
          <t>Leer la sección de elasticidad y plasticidad y anotar el límite elástico. (Libro abierto)</t>
        </is>
      </c>
      <c r="G20" s="6" t="inlineStr">
        <is>
          <t>Dibujo de una curva esfuerzo-deformación</t>
        </is>
      </c>
      <c r="H20" s="5" t="inlineStr">
        <is>
          <t>https://openstax.org/books/university-physics-volume-1/pages/12-4-elasticity-and-plasticity</t>
        </is>
      </c>
    </row>
    <row r="21">
      <c r="A21" s="4" t="inlineStr">
        <is>
          <t>A3</t>
        </is>
      </c>
      <c r="B21" s="6" t="inlineStr"/>
      <c r="C21" s="6" t="inlineStr"/>
      <c r="D21" s="18" t="n">
        <v>20</v>
      </c>
      <c r="E21" s="6" t="inlineStr">
        <is>
          <t>Comprender</t>
        </is>
      </c>
      <c r="F21" s="6" t="inlineStr">
        <is>
          <t>Ver la introducción de OpenSim al modelado musculoesquelético. (Tutorial)</t>
        </is>
      </c>
      <c r="G21" s="6" t="inlineStr">
        <is>
          <t>Tres preguntas anotadas</t>
        </is>
      </c>
      <c r="H21" s="5" t="inlineStr">
        <is>
          <t>https://opensimconfluence.atlassian.net/wiki/spaces/OpenSim/pages/53088700/Tutorial+1+-+Intro+to+Musculoskeletal+Modeling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U-Net y de la tarea. Panorama de la biomecánica: cinemática, cinética y carga en articulaciones durante la marcha.</t>
        </is>
      </c>
      <c r="G26" s="6" t="inlineStr">
        <is>
          <t>Zoom o Teams, chat</t>
        </is>
      </c>
      <c r="H26" s="5" t="inlineStr">
        <is>
          <t>https://opensimconfluence.atlassian.net/wiki/spaces/OpenSim/pages/53088700/Tutorial+1+-+Intro+to+Musculoskeletal+Modeling
https://simtk.org/projects/opensim</t>
        </is>
      </c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esfuerzo, deformación, módulo de Young, flexión (sigma = M c / I), inercia de un cilindro hueco y valores típicos del hueso cortical como supuestos de trabajo.</t>
        </is>
      </c>
      <c r="G27" s="6" t="inlineStr">
        <is>
          <t>Zoom, presentación</t>
        </is>
      </c>
      <c r="H27" s="5" t="inlineStr">
        <is>
          <t>https://openstax.org/books/university-physics-volume-1/pages/12-3-stress-strain-and-elastic-modulus
https://openstax.org/books/university-physics-volume-1/pages/12-4-elasticity-and-plasticity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Resolución en vivo del ejemplo de la hoja: fémur como cilindro hueco con carga axial y excéntrica; cálculo paso a paso de A, sigma, epsilon, I y sigma de flexión.</t>
        </is>
      </c>
      <c r="G28" s="6" t="inlineStr">
        <is>
          <t>Zoom, Colab o software</t>
        </is>
      </c>
      <c r="H28" s="5" t="inlineStr">
        <is>
          <t>https://openstax.org/books/university-physics-volume-1/pages/12-3-stress-strain-and-elastic-modulus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cambiar el diámetro interno y la carga en el ejemplo, registrar el cambio en el esfuerzo y calcular el factor de seguridad.</t>
        </is>
      </c>
      <c r="G30" s="6" t="inlineStr">
        <is>
          <t>Salas de Zoom, Google Docs</t>
        </is>
      </c>
      <c r="H30" s="5" t="inlineStr">
        <is>
          <t>https://openstax.org/books/university-physics-volume-1/pages/12-3-stress-strain-and-elastic-modulus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Plenaria: cada sala presenta su resultado. Discusión sobre osteoporosis (menor diámetro efectivo) y sobre las simplificaciones del modelo.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Quiz en Google Forms, publicación de la tarea y adelanto de la semana 14 (elementos finitos del fémur).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50</v>
      </c>
      <c r="E37" s="6" t="inlineStr">
        <is>
          <t>Aplicar</t>
        </is>
      </c>
      <c r="F37" s="6" t="inlineStr">
        <is>
          <t>Resolver dos problemas propuestos de esfuerzo y flexión, con unidades y procedimiento completo. (Hoja de cálculo o papel)</t>
        </is>
      </c>
      <c r="G37" s="6" t="inlineStr">
        <is>
          <t>Problemas resueltos con unidades</t>
        </is>
      </c>
      <c r="H37" s="5" t="inlineStr">
        <is>
          <t>https://openstax.org/books/university-physics-volume-1/pages/12-3-stress-strain-and-elastic-modulus</t>
        </is>
      </c>
    </row>
    <row r="38">
      <c r="A38" s="4" t="inlineStr">
        <is>
          <t>D2</t>
        </is>
      </c>
      <c r="B38" s="6" t="inlineStr"/>
      <c r="C38" s="6" t="inlineStr"/>
      <c r="D38" s="18" t="n">
        <v>20</v>
      </c>
      <c r="E38" s="6" t="inlineStr">
        <is>
          <t>Evaluar</t>
        </is>
      </c>
      <c r="F38" s="6" t="inlineStr">
        <is>
          <t>Explicar en un párrafo cómo la osteoporosis cambia el factor de seguridad del fémur. (Aula virtual)</t>
        </is>
      </c>
      <c r="G38" s="6" t="inlineStr">
        <is>
          <t>Párrafo con cálculo de apoyo</t>
        </is>
      </c>
      <c r="H38" s="5" t="inlineStr">
        <is>
          <t>https://openstax.org/books/university-physics-volume-1/pages/12-4-elasticity-and-plasticity</t>
        </is>
      </c>
    </row>
    <row r="39">
      <c r="A39" s="4" t="inlineStr">
        <is>
          <t>D3</t>
        </is>
      </c>
      <c r="B39" s="6" t="inlineStr"/>
      <c r="C39" s="6" t="inlineStr"/>
      <c r="D39" s="18" t="n">
        <v>25</v>
      </c>
      <c r="E39" s="6" t="inlineStr">
        <is>
          <t>Aplicar</t>
        </is>
      </c>
      <c r="F39" s="6" t="inlineStr">
        <is>
          <t>Instalar OpenSim o revisar el tutorial para la semana siguiente. (Software)</t>
        </is>
      </c>
      <c r="G39" s="6" t="inlineStr">
        <is>
          <t>Captura de instalación o de tutorial</t>
        </is>
      </c>
      <c r="H39" s="5" t="inlineStr">
        <is>
          <t>https://simtk.org/projects/opensim</t>
        </is>
      </c>
    </row>
    <row r="40">
      <c r="C40" s="4" t="inlineStr">
        <is>
          <t>Total</t>
        </is>
      </c>
      <c r="D40" s="4">
        <f>SUM(D37:D39)</f>
        <v/>
      </c>
    </row>
    <row r="42">
      <c r="A42" s="19" t="inlineStr">
        <is>
          <t>5. Ejemplo resuelto: fémur como cilindro hueco (valores azules son supuestos docentes, editables)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3" t="inlineStr">
        <is>
          <t>Símbolo</t>
        </is>
      </c>
      <c r="B43" s="3" t="inlineStr"/>
      <c r="C43" s="3" t="inlineStr"/>
      <c r="D43" s="3" t="inlineStr">
        <is>
          <t>Unidad</t>
        </is>
      </c>
      <c r="E43" s="3" t="inlineStr">
        <is>
          <t>Variable</t>
        </is>
      </c>
      <c r="F43" s="3" t="inlineStr">
        <is>
          <t>Fórmula o supuesto</t>
        </is>
      </c>
      <c r="G43" s="3" t="inlineStr">
        <is>
          <t>Valor</t>
        </is>
      </c>
      <c r="H43" s="3" t="inlineStr">
        <is>
          <t>Nota</t>
        </is>
      </c>
    </row>
    <row r="44">
      <c r="A44" s="4" t="inlineStr">
        <is>
          <t>F</t>
        </is>
      </c>
      <c r="B44" s="6" t="inlineStr"/>
      <c r="C44" s="6" t="inlineStr"/>
      <c r="D44" s="21" t="inlineStr">
        <is>
          <t>N</t>
        </is>
      </c>
      <c r="E44" s="6" t="inlineStr">
        <is>
          <t>Carga axial</t>
        </is>
      </c>
      <c r="F44" s="6" t="inlineStr">
        <is>
          <t>Supuesto: 3 veces un peso corporal de 700 N</t>
        </is>
      </c>
      <c r="G44" s="18" t="n">
        <v>2100</v>
      </c>
      <c r="H44" s="6" t="inlineStr">
        <is>
          <t>Supuesto docente</t>
        </is>
      </c>
    </row>
    <row r="45">
      <c r="A45" s="4" t="inlineStr">
        <is>
          <t>Do</t>
        </is>
      </c>
      <c r="B45" s="6" t="inlineStr"/>
      <c r="C45" s="6" t="inlineStr"/>
      <c r="D45" s="21" t="inlineStr">
        <is>
          <t>mm</t>
        </is>
      </c>
      <c r="E45" s="6" t="inlineStr">
        <is>
          <t>Diámetro exterior</t>
        </is>
      </c>
      <c r="F45" s="6" t="inlineStr">
        <is>
          <t>Supuesto de sección diafisaria</t>
        </is>
      </c>
      <c r="G45" s="18" t="n">
        <v>30</v>
      </c>
      <c r="H45" s="6" t="inlineStr">
        <is>
          <t>Supuesto docente</t>
        </is>
      </c>
    </row>
    <row r="46">
      <c r="A46" s="4" t="inlineStr">
        <is>
          <t>Di</t>
        </is>
      </c>
      <c r="B46" s="6" t="inlineStr"/>
      <c r="C46" s="6" t="inlineStr"/>
      <c r="D46" s="21" t="inlineStr">
        <is>
          <t>mm</t>
        </is>
      </c>
      <c r="E46" s="6" t="inlineStr">
        <is>
          <t>Diámetro interior (canal medular)</t>
        </is>
      </c>
      <c r="F46" s="6" t="inlineStr">
        <is>
          <t>Supuesto de sección diafisaria</t>
        </is>
      </c>
      <c r="G46" s="18" t="n">
        <v>16</v>
      </c>
      <c r="H46" s="6" t="inlineStr">
        <is>
          <t>Supuesto docente</t>
        </is>
      </c>
    </row>
    <row r="47">
      <c r="A47" s="4" t="inlineStr">
        <is>
          <t>d</t>
        </is>
      </c>
      <c r="B47" s="6" t="inlineStr"/>
      <c r="C47" s="6" t="inlineStr"/>
      <c r="D47" s="21" t="inlineStr">
        <is>
          <t>mm</t>
        </is>
      </c>
      <c r="E47" s="6" t="inlineStr">
        <is>
          <t>Excentricidad de la carga</t>
        </is>
      </c>
      <c r="F47" s="6" t="inlineStr">
        <is>
          <t>Brazo de momento de la carga respecto al eje</t>
        </is>
      </c>
      <c r="G47" s="18" t="n">
        <v>50</v>
      </c>
      <c r="H47" s="6" t="inlineStr">
        <is>
          <t>Supuesto docente</t>
        </is>
      </c>
    </row>
    <row r="48">
      <c r="A48" s="4" t="inlineStr">
        <is>
          <t>E</t>
        </is>
      </c>
      <c r="B48" s="6" t="inlineStr"/>
      <c r="C48" s="6" t="inlineStr"/>
      <c r="D48" s="21" t="inlineStr">
        <is>
          <t>MPa</t>
        </is>
      </c>
      <c r="E48" s="6" t="inlineStr">
        <is>
          <t>Módulo de Young, hueso cortical</t>
        </is>
      </c>
      <c r="F48" s="6" t="inlineStr">
        <is>
          <t>Valor de referencia de trabajo (17 GPa)</t>
        </is>
      </c>
      <c r="G48" s="18" t="n">
        <v>17000</v>
      </c>
      <c r="H48" s="6" t="inlineStr">
        <is>
          <t>Supuesto docente</t>
        </is>
      </c>
    </row>
    <row r="49">
      <c r="A49" s="4" t="inlineStr">
        <is>
          <t>L</t>
        </is>
      </c>
      <c r="B49" s="6" t="inlineStr"/>
      <c r="C49" s="6" t="inlineStr"/>
      <c r="D49" s="21" t="inlineStr">
        <is>
          <t>mm</t>
        </is>
      </c>
      <c r="E49" s="6" t="inlineStr">
        <is>
          <t>Longitud del segmento</t>
        </is>
      </c>
      <c r="F49" s="6" t="inlineStr">
        <is>
          <t>Longitud de trabajo</t>
        </is>
      </c>
      <c r="G49" s="18" t="n">
        <v>450</v>
      </c>
      <c r="H49" s="6" t="inlineStr">
        <is>
          <t>Supuesto docente</t>
        </is>
      </c>
    </row>
    <row r="50">
      <c r="A50" s="4" t="inlineStr">
        <is>
          <t>su</t>
        </is>
      </c>
      <c r="B50" s="6" t="inlineStr"/>
      <c r="C50" s="6" t="inlineStr"/>
      <c r="D50" s="21" t="inlineStr">
        <is>
          <t>MPa</t>
        </is>
      </c>
      <c r="E50" s="6" t="inlineStr">
        <is>
          <t>Resistencia a compresión, hueso cortical</t>
        </is>
      </c>
      <c r="F50" s="6" t="inlineStr">
        <is>
          <t>Valor de referencia de trabajo</t>
        </is>
      </c>
      <c r="G50" s="18" t="n">
        <v>170</v>
      </c>
      <c r="H50" s="6" t="inlineStr">
        <is>
          <t>Supuesto docente</t>
        </is>
      </c>
    </row>
    <row r="51">
      <c r="A51" s="4" t="inlineStr">
        <is>
          <t>A</t>
        </is>
      </c>
      <c r="B51" s="6" t="inlineStr"/>
      <c r="C51" s="6" t="inlineStr"/>
      <c r="D51" s="21" t="inlineStr">
        <is>
          <t>mm²</t>
        </is>
      </c>
      <c r="E51" s="6" t="inlineStr">
        <is>
          <t>Área de la sección</t>
        </is>
      </c>
      <c r="F51" s="6" t="inlineStr">
        <is>
          <t>A = pi/4 (Do² − Di²)</t>
        </is>
      </c>
      <c r="G51" s="24">
        <f>PI()/4*(G45^2-G46^2)</f>
        <v/>
      </c>
      <c r="H51" s="6" t="inlineStr">
        <is>
          <t>Calculado en clase</t>
        </is>
      </c>
    </row>
    <row r="52">
      <c r="A52" s="4" t="inlineStr">
        <is>
          <t>σ</t>
        </is>
      </c>
      <c r="B52" s="6" t="inlineStr"/>
      <c r="C52" s="6" t="inlineStr"/>
      <c r="D52" s="21" t="inlineStr">
        <is>
          <t>MPa</t>
        </is>
      </c>
      <c r="E52" s="6" t="inlineStr">
        <is>
          <t>Esfuerzo axial</t>
        </is>
      </c>
      <c r="F52" s="6" t="inlineStr">
        <is>
          <t>σ = F / A</t>
        </is>
      </c>
      <c r="G52" s="25">
        <f>G44/G51</f>
        <v/>
      </c>
      <c r="H52" s="6" t="inlineStr">
        <is>
          <t>Calculado en clase</t>
        </is>
      </c>
    </row>
    <row r="53">
      <c r="A53" s="4" t="inlineStr">
        <is>
          <t>ε</t>
        </is>
      </c>
      <c r="B53" s="6" t="inlineStr"/>
      <c r="C53" s="6" t="inlineStr"/>
      <c r="D53" s="21" t="inlineStr"/>
      <c r="E53" s="6" t="inlineStr">
        <is>
          <t>Deformación unitaria</t>
        </is>
      </c>
      <c r="F53" s="6" t="inlineStr">
        <is>
          <t>ε = σ / E</t>
        </is>
      </c>
      <c r="G53" s="26">
        <f>G52/G48</f>
        <v/>
      </c>
      <c r="H53" s="6" t="inlineStr">
        <is>
          <t>Calculado en clase</t>
        </is>
      </c>
    </row>
    <row r="54">
      <c r="A54" s="4" t="inlineStr">
        <is>
          <t>ΔL</t>
        </is>
      </c>
      <c r="B54" s="6" t="inlineStr"/>
      <c r="C54" s="6" t="inlineStr"/>
      <c r="D54" s="21" t="inlineStr">
        <is>
          <t>mm</t>
        </is>
      </c>
      <c r="E54" s="6" t="inlineStr">
        <is>
          <t>Acortamiento</t>
        </is>
      </c>
      <c r="F54" s="6" t="inlineStr">
        <is>
          <t>ΔL = ε · L</t>
        </is>
      </c>
      <c r="G54" s="27">
        <f>G53*G49</f>
        <v/>
      </c>
      <c r="H54" s="6" t="inlineStr">
        <is>
          <t>Calculado en clase</t>
        </is>
      </c>
    </row>
    <row r="55">
      <c r="A55" s="4" t="inlineStr">
        <is>
          <t>I</t>
        </is>
      </c>
      <c r="B55" s="6" t="inlineStr"/>
      <c r="C55" s="6" t="inlineStr"/>
      <c r="D55" s="21" t="inlineStr">
        <is>
          <t>mm⁴</t>
        </is>
      </c>
      <c r="E55" s="6" t="inlineStr">
        <is>
          <t>Momento de inercia</t>
        </is>
      </c>
      <c r="F55" s="6" t="inlineStr">
        <is>
          <t>I = pi (Do⁴ − Di⁴) / 64</t>
        </is>
      </c>
      <c r="G55" s="28">
        <f>PI()*(G45^4-G46^4)/64</f>
        <v/>
      </c>
      <c r="H55" s="6" t="inlineStr">
        <is>
          <t>Calculado en clase</t>
        </is>
      </c>
    </row>
    <row r="56">
      <c r="A56" s="4" t="inlineStr">
        <is>
          <t>M</t>
        </is>
      </c>
      <c r="B56" s="6" t="inlineStr"/>
      <c r="C56" s="6" t="inlineStr"/>
      <c r="D56" s="21" t="inlineStr">
        <is>
          <t>N·mm</t>
        </is>
      </c>
      <c r="E56" s="6" t="inlineStr">
        <is>
          <t>Momento flector</t>
        </is>
      </c>
      <c r="F56" s="6" t="inlineStr">
        <is>
          <t>M = F · d</t>
        </is>
      </c>
      <c r="G56" s="28">
        <f>G44*G47</f>
        <v/>
      </c>
      <c r="H56" s="6" t="inlineStr">
        <is>
          <t>Calculado en clase</t>
        </is>
      </c>
    </row>
    <row r="57">
      <c r="A57" s="4" t="inlineStr">
        <is>
          <t>σf</t>
        </is>
      </c>
      <c r="B57" s="6" t="inlineStr"/>
      <c r="C57" s="6" t="inlineStr"/>
      <c r="D57" s="21" t="inlineStr">
        <is>
          <t>MPa</t>
        </is>
      </c>
      <c r="E57" s="6" t="inlineStr">
        <is>
          <t>Esfuerzo de flexión máximo</t>
        </is>
      </c>
      <c r="F57" s="6" t="inlineStr">
        <is>
          <t>σf = M · (Do/2) / I</t>
        </is>
      </c>
      <c r="G57" s="24">
        <f>G56*(G45/2)/G55</f>
        <v/>
      </c>
      <c r="H57" s="6" t="inlineStr">
        <is>
          <t>Calculado en clase</t>
        </is>
      </c>
    </row>
    <row r="58">
      <c r="A58" s="4" t="inlineStr">
        <is>
          <t>σmax</t>
        </is>
      </c>
      <c r="B58" s="6" t="inlineStr"/>
      <c r="C58" s="6" t="inlineStr"/>
      <c r="D58" s="21" t="inlineStr">
        <is>
          <t>MPa</t>
        </is>
      </c>
      <c r="E58" s="6" t="inlineStr">
        <is>
          <t>Esfuerzo máximo de compresión</t>
        </is>
      </c>
      <c r="F58" s="6" t="inlineStr">
        <is>
          <t>σmax = σ + σf</t>
        </is>
      </c>
      <c r="G58" s="24">
        <f>G52+G57</f>
        <v/>
      </c>
      <c r="H58" s="6" t="inlineStr">
        <is>
          <t>Calculado en clase</t>
        </is>
      </c>
    </row>
    <row r="59">
      <c r="A59" s="4" t="inlineStr">
        <is>
          <t>FS</t>
        </is>
      </c>
      <c r="B59" s="6" t="inlineStr"/>
      <c r="C59" s="6" t="inlineStr"/>
      <c r="D59" s="21" t="inlineStr"/>
      <c r="E59" s="6" t="inlineStr">
        <is>
          <t>Factor de seguridad</t>
        </is>
      </c>
      <c r="F59" s="6" t="inlineStr">
        <is>
          <t>FS = su / σmax</t>
        </is>
      </c>
      <c r="G59" s="24">
        <f>G50/G58</f>
        <v/>
      </c>
      <c r="H59" s="6" t="inlineStr">
        <is>
          <t>Calculado en clase</t>
        </is>
      </c>
    </row>
    <row r="60">
      <c r="A60" s="29" t="inlineStr">
        <is>
          <t>Nota: el modelo supone sección uniforme, material homogéneo e isotrópico y carga estática. Los valores del hueso son de trabajo para enseñanza y deben contrastarse con la literatura antes de usarse en diseño.</t>
        </is>
      </c>
    </row>
  </sheetData>
  <mergeCells count="5">
    <mergeCell ref="B4:H4"/>
    <mergeCell ref="A2:H2"/>
    <mergeCell ref="B6:E6"/>
    <mergeCell ref="A60:H60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6" r:id="rId4"/>
    <hyperlink xmlns:r="http://schemas.openxmlformats.org/officeDocument/2006/relationships" ref="H27" r:id="rId5"/>
    <hyperlink xmlns:r="http://schemas.openxmlformats.org/officeDocument/2006/relationships" ref="H28" r:id="rId6"/>
    <hyperlink xmlns:r="http://schemas.openxmlformats.org/officeDocument/2006/relationships" ref="H30" r:id="rId7"/>
    <hyperlink xmlns:r="http://schemas.openxmlformats.org/officeDocument/2006/relationships" ref="H37" r:id="rId8"/>
    <hyperlink xmlns:r="http://schemas.openxmlformats.org/officeDocument/2006/relationships" ref="H38" r:id="rId9"/>
    <hyperlink xmlns:r="http://schemas.openxmlformats.org/officeDocument/2006/relationships" ref="H39" r:id="rId10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72" customWidth="1" min="6" max="6"/>
    <col width="30" customWidth="1" min="7" max="7"/>
    <col width="60" customWidth="1" min="8" max="8"/>
  </cols>
  <sheetData>
    <row r="1" ht="30" customHeight="1">
      <c r="A1" s="10" t="inlineStr">
        <is>
          <t>Semana 14: Análisis por elementos finitos del fémur y cierre del curso</t>
        </is>
      </c>
    </row>
    <row r="2">
      <c r="A2" s="2" t="inlineStr">
        <is>
          <t>Sistemas Biomecatrónicos, ESPOL. Clase virtual sincrónica de 1 h 45 min (105 min). Organización por taxonomía de Bloom revisada.</t>
        </is>
      </c>
    </row>
    <row r="4">
      <c r="A4" s="11" t="inlineStr">
        <is>
          <t>Resultado de aprendizaje</t>
        </is>
      </c>
      <c r="B4" s="6" t="inlineStr">
        <is>
          <t>Plantea un modelo de elementos finitos de un fémur (geometría, malla, material, cargas, condiciones de borde), interpreta la distribución de esfuerzos y presenta el proyecto final.</t>
        </is>
      </c>
    </row>
    <row r="5">
      <c r="A5" s="11" t="inlineStr">
        <is>
          <t>Duración total (min)</t>
        </is>
      </c>
      <c r="B5" s="4">
        <f>D33</f>
        <v/>
      </c>
    </row>
    <row r="6">
      <c r="A6" s="11" t="inlineStr">
        <is>
          <t>Control de tiempo</t>
        </is>
      </c>
      <c r="B6" s="12">
        <f>IF(D33=105,"Correcto: 105 min","Revisar: no suma 105 min")</f>
        <v/>
      </c>
    </row>
    <row r="8">
      <c r="A8" s="13" t="inlineStr">
        <is>
          <t>1. Objetivos por nivel de la taxonomía de Bloom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3" t="inlineStr">
        <is>
          <t>Nivel</t>
        </is>
      </c>
      <c r="B9" s="3" t="inlineStr"/>
      <c r="C9" s="3" t="inlineStr"/>
      <c r="D9" s="3" t="inlineStr"/>
      <c r="E9" s="3" t="inlineStr">
        <is>
          <t>Verbo de acción</t>
        </is>
      </c>
      <c r="F9" s="3" t="inlineStr">
        <is>
          <t>Objetivo de aprendizaje</t>
        </is>
      </c>
      <c r="G9" s="3" t="inlineStr">
        <is>
          <t>Evidencia</t>
        </is>
      </c>
      <c r="H9" s="3" t="inlineStr"/>
    </row>
    <row r="10">
      <c r="A10" s="15" t="inlineStr">
        <is>
          <t>1. Recordar</t>
        </is>
      </c>
      <c r="B10" s="6" t="inlineStr"/>
      <c r="C10" s="6" t="inlineStr"/>
      <c r="D10" s="6" t="inlineStr"/>
      <c r="E10" s="6" t="inlineStr">
        <is>
          <t>Enumerar/Definir</t>
        </is>
      </c>
      <c r="F10" s="6" t="inlineStr">
        <is>
          <t>Recordar los pasos de un análisis de elementos finitos: geometría, malla, material, cargas, solución, resultados.</t>
        </is>
      </c>
      <c r="G10" s="6" t="inlineStr">
        <is>
          <t>Quiz de 5 preguntas en Google Forms</t>
        </is>
      </c>
      <c r="H10" s="6" t="inlineStr"/>
    </row>
    <row r="11">
      <c r="A11" s="15" t="inlineStr">
        <is>
          <t>2. Comprender</t>
        </is>
      </c>
      <c r="B11" s="6" t="inlineStr"/>
      <c r="C11" s="6" t="inlineStr"/>
      <c r="D11" s="6" t="inlineStr"/>
      <c r="E11" s="6" t="inlineStr">
        <is>
          <t>Explicar</t>
        </is>
      </c>
      <c r="F11" s="6" t="inlineStr">
        <is>
          <t>Explicar por qué se refina la malla y cómo influye en la convergencia.</t>
        </is>
      </c>
      <c r="G11" s="6" t="inlineStr">
        <is>
          <t>Explicación breve en foro o mapa conceptual</t>
        </is>
      </c>
      <c r="H11" s="6" t="inlineStr"/>
    </row>
    <row r="12">
      <c r="A12" s="15" t="inlineStr">
        <is>
          <t>3. Aplicar</t>
        </is>
      </c>
      <c r="B12" s="6" t="inlineStr"/>
      <c r="C12" s="6" t="inlineStr"/>
      <c r="D12" s="6" t="inlineStr"/>
      <c r="E12" s="6" t="inlineStr">
        <is>
          <t>Aplicar/Ejecutar</t>
        </is>
      </c>
      <c r="F12" s="6" t="inlineStr">
        <is>
          <t>Ejecutar un ejemplo sencillo de elementos finitos con Gmsh o FreeCAD y su solver.</t>
        </is>
      </c>
      <c r="G12" s="6" t="inlineStr">
        <is>
          <t>Notebook o ejercicio resuelto en clase</t>
        </is>
      </c>
      <c r="H12" s="6" t="inlineStr"/>
    </row>
    <row r="13">
      <c r="A13" s="15" t="inlineStr">
        <is>
          <t>4. Analizar</t>
        </is>
      </c>
      <c r="B13" s="6" t="inlineStr"/>
      <c r="C13" s="6" t="inlineStr"/>
      <c r="D13" s="6" t="inlineStr"/>
      <c r="E13" s="6" t="inlineStr">
        <is>
          <t>Analizar/Comparar</t>
        </is>
      </c>
      <c r="F13" s="6" t="inlineStr">
        <is>
          <t>Analizar la distribución de esfuerzos en un fémur y ubicar concentraciones.</t>
        </is>
      </c>
      <c r="G13" s="6" t="inlineStr">
        <is>
          <t>Comparación de resultados o casos en sala virtual</t>
        </is>
      </c>
      <c r="H13" s="6" t="inlineStr"/>
    </row>
    <row r="14">
      <c r="A14" s="15" t="inlineStr">
        <is>
          <t>5. Evaluar</t>
        </is>
      </c>
      <c r="B14" s="6" t="inlineStr"/>
      <c r="C14" s="6" t="inlineStr"/>
      <c r="D14" s="6" t="inlineStr"/>
      <c r="E14" s="6" t="inlineStr">
        <is>
          <t>Evaluar/Justificar</t>
        </is>
      </c>
      <c r="F14" s="6" t="inlineStr">
        <is>
          <t>Evaluar resultados frente a la literatura y el cálculo analítico de la semana 13.</t>
        </is>
      </c>
      <c r="G14" s="6" t="inlineStr">
        <is>
          <t>Rúbrica de coevaluación de la plenaria</t>
        </is>
      </c>
      <c r="H14" s="6" t="inlineStr"/>
    </row>
    <row r="15">
      <c r="A15" s="15" t="inlineStr">
        <is>
          <t>6. Crear</t>
        </is>
      </c>
      <c r="B15" s="6" t="inlineStr"/>
      <c r="C15" s="6" t="inlineStr"/>
      <c r="D15" s="6" t="inlineStr"/>
      <c r="E15" s="6" t="inlineStr">
        <is>
          <t>Diseñar/Proponer</t>
        </is>
      </c>
      <c r="F15" s="6" t="inlineStr">
        <is>
          <t>Crear y presentar el proyecto final integrador del curso.</t>
        </is>
      </c>
      <c r="G15" s="6" t="inlineStr">
        <is>
          <t>Entregable o mini propuesta posterior a la clase</t>
        </is>
      </c>
      <c r="H15" s="6" t="inlineStr"/>
    </row>
    <row r="17">
      <c r="A17" s="16" t="inlineStr">
        <is>
          <t>2. ANTES de la clase (trabajo asincrónico, 48 horas previas)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3" t="inlineStr">
        <is>
          <t>Ítem</t>
        </is>
      </c>
      <c r="B18" s="3" t="inlineStr"/>
      <c r="C18" s="3" t="inlineStr"/>
      <c r="D18" s="3" t="inlineStr">
        <is>
          <t>Min</t>
        </is>
      </c>
      <c r="E18" s="3" t="inlineStr">
        <is>
          <t>Nivel Bloom</t>
        </is>
      </c>
      <c r="F18" s="3" t="inlineStr">
        <is>
          <t>Actividad</t>
        </is>
      </c>
      <c r="G18" s="3" t="inlineStr">
        <is>
          <t>Entregable</t>
        </is>
      </c>
      <c r="H18" s="3" t="inlineStr">
        <is>
          <t>Enlace verificado</t>
        </is>
      </c>
    </row>
    <row r="19">
      <c r="A19" s="4" t="inlineStr">
        <is>
          <t>A1</t>
        </is>
      </c>
      <c r="B19" s="6" t="inlineStr"/>
      <c r="C19" s="6" t="inlineStr"/>
      <c r="D19" s="18" t="n">
        <v>40</v>
      </c>
      <c r="E19" s="6" t="inlineStr">
        <is>
          <t>Comprender</t>
        </is>
      </c>
      <c r="F19" s="6" t="inlineStr">
        <is>
          <t>Leer la revisión de análisis por elementos finitos del fémur humano. (Artículo)</t>
        </is>
      </c>
      <c r="G19" s="6" t="inlineStr">
        <is>
          <t>Resumen de cinco líneas</t>
        </is>
      </c>
      <c r="H19" s="5" t="inlineStr">
        <is>
          <t>https://www.sciencedirect.com/science/article/abs/pii/S2214785322002784</t>
        </is>
      </c>
    </row>
    <row r="20">
      <c r="A20" s="4" t="inlineStr">
        <is>
          <t>A2</t>
        </is>
      </c>
      <c r="B20" s="6" t="inlineStr"/>
      <c r="C20" s="6" t="inlineStr"/>
      <c r="D20" s="18" t="n">
        <v>45</v>
      </c>
      <c r="E20" s="6" t="inlineStr">
        <is>
          <t>Aplicar</t>
        </is>
      </c>
      <c r="F20" s="6" t="inlineStr">
        <is>
          <t>Hacer el tutorial de FEM de FreeCAD hasta obtener resultados. (Tutorial)</t>
        </is>
      </c>
      <c r="G20" s="6" t="inlineStr">
        <is>
          <t>Captura de esfuerzos</t>
        </is>
      </c>
      <c r="H20" s="5" t="inlineStr">
        <is>
          <t>https://wiki.freecad.org/FEM_tutorial</t>
        </is>
      </c>
    </row>
    <row r="21">
      <c r="A21" s="4" t="inlineStr">
        <is>
          <t>A3</t>
        </is>
      </c>
      <c r="B21" s="6" t="inlineStr"/>
      <c r="C21" s="6" t="inlineStr"/>
      <c r="D21" s="18" t="n">
        <v>20</v>
      </c>
      <c r="E21" s="6" t="inlineStr">
        <is>
          <t>Comprender</t>
        </is>
      </c>
      <c r="F21" s="6" t="inlineStr">
        <is>
          <t>Revisar el estudio de fémur distal con y sin osteoartritis. (Artículo)</t>
        </is>
      </c>
      <c r="G21" s="6" t="inlineStr">
        <is>
          <t>Dos hallazgos anotados</t>
        </is>
      </c>
      <c r="H21" s="5" t="inlineStr">
        <is>
          <t>https://doi.org/10.3390/computation14010018</t>
        </is>
      </c>
    </row>
    <row r="22">
      <c r="C22" s="4" t="inlineStr">
        <is>
          <t>Total</t>
        </is>
      </c>
      <c r="D22" s="4">
        <f>SUM(D19:D21)</f>
        <v/>
      </c>
    </row>
    <row r="24">
      <c r="A24" s="19" t="inlineStr">
        <is>
          <t>3. DURANTE la clase (105 min, paso a paso)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3" t="inlineStr">
        <is>
          <t>Paso</t>
        </is>
      </c>
      <c r="B25" s="3" t="inlineStr">
        <is>
          <t>Inicio (min)</t>
        </is>
      </c>
      <c r="C25" s="3" t="inlineStr">
        <is>
          <t>Fin (min)</t>
        </is>
      </c>
      <c r="D25" s="3" t="inlineStr">
        <is>
          <t>Min</t>
        </is>
      </c>
      <c r="E25" s="3" t="inlineStr">
        <is>
          <t>Fase / Nivel Bloom</t>
        </is>
      </c>
      <c r="F25" s="3" t="inlineStr">
        <is>
          <t>Actividad paso a paso</t>
        </is>
      </c>
      <c r="G25" s="3" t="inlineStr">
        <is>
          <t>Herramienta</t>
        </is>
      </c>
      <c r="H25" s="3" t="inlineStr">
        <is>
          <t>Enlace verificado</t>
        </is>
      </c>
    </row>
    <row r="26">
      <c r="A26" s="4" t="n">
        <v>1</v>
      </c>
      <c r="B26" s="21" t="n">
        <v>0</v>
      </c>
      <c r="C26" s="21">
        <f>B26+D26</f>
        <v/>
      </c>
      <c r="D26" s="18" t="n">
        <v>10</v>
      </c>
      <c r="E26" s="6" t="inlineStr">
        <is>
          <t>Apertura
(Recordar)</t>
        </is>
      </c>
      <c r="F26" s="6" t="inlineStr">
        <is>
          <t>Repaso de esfuerzos en huesos y de la tarea. Objetivo: pasar del cálculo manual a un modelo por elementos finitos.</t>
        </is>
      </c>
      <c r="G26" s="6" t="inlineStr">
        <is>
          <t>Zoom o Teams, chat</t>
        </is>
      </c>
      <c r="H26" s="5" t="inlineStr">
        <is>
          <t>https://openstax.org/books/university-physics-volume-1/pages/12-3-stress-strain-and-elastic-modulus</t>
        </is>
      </c>
    </row>
    <row r="27">
      <c r="A27" s="4" t="n">
        <v>2</v>
      </c>
      <c r="B27" s="21">
        <f>C26</f>
        <v/>
      </c>
      <c r="C27" s="21">
        <f>B27+D27</f>
        <v/>
      </c>
      <c r="D27" s="18" t="n">
        <v>20</v>
      </c>
      <c r="E27" s="6" t="inlineStr">
        <is>
          <t>Exposición
(Comprender)</t>
        </is>
      </c>
      <c r="F27" s="6" t="inlineStr">
        <is>
          <t>Exposición: método de elementos finitos, mallado, propiedades de material, cargas y condiciones de borde; ejemplo de fémur en la literatura.</t>
        </is>
      </c>
      <c r="G27" s="6" t="inlineStr">
        <is>
          <t>Zoom, presentación</t>
        </is>
      </c>
      <c r="H27" s="5" t="inlineStr">
        <is>
          <t>https://www.sciencedirect.com/science/article/abs/pii/S2214785322002784
https://doi.org/10.3390/computation14010018</t>
        </is>
      </c>
    </row>
    <row r="28">
      <c r="A28" s="4" t="n">
        <v>3</v>
      </c>
      <c r="B28" s="21">
        <f>C27</f>
        <v/>
      </c>
      <c r="C28" s="21">
        <f>B28+D28</f>
        <v/>
      </c>
      <c r="D28" s="18" t="n">
        <v>20</v>
      </c>
      <c r="E28" s="6" t="inlineStr">
        <is>
          <t>Demostración en vivo
(Aplicar)</t>
        </is>
      </c>
      <c r="F28" s="6" t="inlineStr">
        <is>
          <t>Demostración: mallar una geometría con Gmsh o FreeCAD, aplicar cargas y ver el mapa de esfuerzos. Comparar con el cálculo analítico de la semana 13.</t>
        </is>
      </c>
      <c r="G28" s="6" t="inlineStr">
        <is>
          <t>Zoom, Colab o software</t>
        </is>
      </c>
      <c r="H28" s="5" t="inlineStr">
        <is>
          <t>https://gmsh.info/
https://wiki.freecad.org/FEM_tutorial</t>
        </is>
      </c>
    </row>
    <row r="29">
      <c r="A29" s="4" t="n">
        <v>4</v>
      </c>
      <c r="B29" s="21">
        <f>C28</f>
        <v/>
      </c>
      <c r="C29" s="21">
        <f>B29+D29</f>
        <v/>
      </c>
      <c r="D29" s="18" t="n">
        <v>5</v>
      </c>
      <c r="E29" s="6" t="inlineStr">
        <is>
          <t>Pausa</t>
        </is>
      </c>
      <c r="F29" s="6" t="inlineStr">
        <is>
          <t>Pausa de 5 minutos.</t>
        </is>
      </c>
      <c r="G29" s="6" t="inlineStr">
        <is>
          <t>Cronómetro visible</t>
        </is>
      </c>
      <c r="H29" s="6" t="inlineStr"/>
    </row>
    <row r="30">
      <c r="A30" s="4" t="n">
        <v>5</v>
      </c>
      <c r="B30" s="21">
        <f>C29</f>
        <v/>
      </c>
      <c r="C30" s="21">
        <f>B30+D30</f>
        <v/>
      </c>
      <c r="D30" s="18" t="n">
        <v>25</v>
      </c>
      <c r="E30" s="6" t="inlineStr">
        <is>
          <t>Práctica en salas virtuales
(Analizar)</t>
        </is>
      </c>
      <c r="F30" s="6" t="inlineStr">
        <is>
          <t>Salas de 4 personas: refinar la malla, registrar el cambio en el esfuerzo máximo y decidir cuándo el resultado converge.</t>
        </is>
      </c>
      <c r="G30" s="6" t="inlineStr">
        <is>
          <t>Salas de Zoom, Google Docs</t>
        </is>
      </c>
      <c r="H30" s="5" t="inlineStr">
        <is>
          <t>https://wiki.freecad.org/FEM_tutorial
https://gmsh.info/</t>
        </is>
      </c>
    </row>
    <row r="31">
      <c r="A31" s="4" t="n">
        <v>6</v>
      </c>
      <c r="B31" s="21">
        <f>C30</f>
        <v/>
      </c>
      <c r="C31" s="21">
        <f>B31+D31</f>
        <v/>
      </c>
      <c r="D31" s="18" t="n">
        <v>15</v>
      </c>
      <c r="E31" s="6" t="inlineStr">
        <is>
          <t>Plenaria y discusión
(Evaluar)</t>
        </is>
      </c>
      <c r="F31" s="6" t="inlineStr">
        <is>
          <t>Presentación del proyecto final por grupos (5 minutos cada uno) con preguntas cruzadas. Coevaluación con rúbrica.</t>
        </is>
      </c>
      <c r="G31" s="6" t="inlineStr">
        <is>
          <t>Zoom, rúbrica</t>
        </is>
      </c>
      <c r="H31" s="6" t="inlineStr"/>
    </row>
    <row r="32">
      <c r="A32" s="4" t="n">
        <v>7</v>
      </c>
      <c r="B32" s="21">
        <f>C31</f>
        <v/>
      </c>
      <c r="C32" s="21">
        <f>B32+D32</f>
        <v/>
      </c>
      <c r="D32" s="18" t="n">
        <v>10</v>
      </c>
      <c r="E32" s="6" t="inlineStr">
        <is>
          <t>Cierre y evaluación
(Crear)</t>
        </is>
      </c>
      <c r="F32" s="6" t="inlineStr">
        <is>
          <t>Cierre del curso: retroalimentación general, encuesta de satisfacción y recomendaciones para continuar con ML, deep learning y biomecánica.</t>
        </is>
      </c>
      <c r="G32" s="6" t="inlineStr">
        <is>
          <t>Google Forms, aula virtual</t>
        </is>
      </c>
      <c r="H32" s="6" t="inlineStr"/>
    </row>
    <row r="33">
      <c r="C33" s="4" t="inlineStr">
        <is>
          <t>Total</t>
        </is>
      </c>
      <c r="D33" s="4">
        <f>SUM(D26:D32)</f>
        <v/>
      </c>
    </row>
    <row r="35">
      <c r="A35" s="22" t="inlineStr">
        <is>
          <t>4. DESPUÉS de la clase (trabajo asincrónico)</t>
        </is>
      </c>
      <c r="B35" s="23" t="n"/>
      <c r="C35" s="23" t="n"/>
      <c r="D35" s="23" t="n"/>
      <c r="E35" s="23" t="n"/>
      <c r="F35" s="23" t="n"/>
      <c r="G35" s="23" t="n"/>
      <c r="H35" s="23" t="n"/>
    </row>
    <row r="36">
      <c r="A36" s="3" t="inlineStr">
        <is>
          <t>Ítem</t>
        </is>
      </c>
      <c r="B36" s="3" t="inlineStr"/>
      <c r="C36" s="3" t="inlineStr"/>
      <c r="D36" s="3" t="inlineStr">
        <is>
          <t>Min</t>
        </is>
      </c>
      <c r="E36" s="3" t="inlineStr">
        <is>
          <t>Nivel Bloom</t>
        </is>
      </c>
      <c r="F36" s="3" t="inlineStr">
        <is>
          <t>Actividad</t>
        </is>
      </c>
      <c r="G36" s="3" t="inlineStr">
        <is>
          <t>Entregable</t>
        </is>
      </c>
      <c r="H36" s="3" t="inlineStr">
        <is>
          <t>Enlace verificado</t>
        </is>
      </c>
    </row>
    <row r="37">
      <c r="A37" s="4" t="inlineStr">
        <is>
          <t>D1</t>
        </is>
      </c>
      <c r="B37" s="6" t="inlineStr"/>
      <c r="C37" s="6" t="inlineStr"/>
      <c r="D37" s="18" t="n">
        <v>60</v>
      </c>
      <c r="E37" s="6" t="inlineStr">
        <is>
          <t>Crear</t>
        </is>
      </c>
      <c r="F37" s="6" t="inlineStr">
        <is>
          <t>Entregar el informe final del proyecto con código, resultados y conclusiones. (Aula virtual)</t>
        </is>
      </c>
      <c r="G37" s="6" t="inlineStr">
        <is>
          <t>Informe y repositorio</t>
        </is>
      </c>
      <c r="H37" s="6" t="inlineStr"/>
    </row>
    <row r="38">
      <c r="A38" s="4" t="inlineStr">
        <is>
          <t>D2</t>
        </is>
      </c>
      <c r="B38" s="6" t="inlineStr"/>
      <c r="C38" s="6" t="inlineStr"/>
      <c r="D38" s="18" t="n">
        <v>20</v>
      </c>
      <c r="E38" s="6" t="inlineStr">
        <is>
          <t>Evaluar</t>
        </is>
      </c>
      <c r="F38" s="6" t="inlineStr">
        <is>
          <t>Completar la coevaluación de los proyectos de otros grupos. (Formulario)</t>
        </is>
      </c>
      <c r="G38" s="6" t="inlineStr">
        <is>
          <t>Rúbricas completadas</t>
        </is>
      </c>
      <c r="H38" s="6" t="inlineStr"/>
    </row>
    <row r="39">
      <c r="A39" s="4" t="inlineStr">
        <is>
          <t>D3</t>
        </is>
      </c>
      <c r="B39" s="6" t="inlineStr"/>
      <c r="C39" s="6" t="inlineStr"/>
      <c r="D39" s="18" t="n">
        <v>15</v>
      </c>
      <c r="E39" s="6" t="inlineStr">
        <is>
          <t>Evaluar</t>
        </is>
      </c>
      <c r="F39" s="6" t="inlineStr">
        <is>
          <t>Redactar una reflexión sobre el aprendizaje del curso y una propuesta de mejora. (Aula virtual)</t>
        </is>
      </c>
      <c r="G39" s="6" t="inlineStr">
        <is>
          <t>Reflexión de una página</t>
        </is>
      </c>
      <c r="H39" s="5" t="inlineStr">
        <is>
          <t>https://derekbruff.org/vanderbilt-cft-teaching-guides-archive/blooms-taxonomy/</t>
        </is>
      </c>
    </row>
    <row r="40">
      <c r="C40" s="4" t="inlineStr">
        <is>
          <t>Total</t>
        </is>
      </c>
      <c r="D40" s="4">
        <f>SUM(D37:D39)</f>
        <v/>
      </c>
    </row>
  </sheetData>
  <mergeCells count="4">
    <mergeCell ref="B4:H4"/>
    <mergeCell ref="A2:H2"/>
    <mergeCell ref="B6:E6"/>
    <mergeCell ref="A1:H1"/>
  </mergeCells>
  <hyperlinks>
    <hyperlink xmlns:r="http://schemas.openxmlformats.org/officeDocument/2006/relationships" ref="H19" r:id="rId1"/>
    <hyperlink xmlns:r="http://schemas.openxmlformats.org/officeDocument/2006/relationships" ref="H20" r:id="rId2"/>
    <hyperlink xmlns:r="http://schemas.openxmlformats.org/officeDocument/2006/relationships" ref="H21" r:id="rId3"/>
    <hyperlink xmlns:r="http://schemas.openxmlformats.org/officeDocument/2006/relationships" ref="H26" r:id="rId4"/>
    <hyperlink xmlns:r="http://schemas.openxmlformats.org/officeDocument/2006/relationships" ref="H27" r:id="rId5"/>
    <hyperlink xmlns:r="http://schemas.openxmlformats.org/officeDocument/2006/relationships" ref="H28" r:id="rId6"/>
    <hyperlink xmlns:r="http://schemas.openxmlformats.org/officeDocument/2006/relationships" ref="H30" r:id="rId7"/>
    <hyperlink xmlns:r="http://schemas.openxmlformats.org/officeDocument/2006/relationships" ref="H39" r:id="rId8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70" customWidth="1" min="3" max="3"/>
    <col width="34" customWidth="1" min="4" max="4"/>
  </cols>
  <sheetData>
    <row r="1" ht="30" customHeight="1">
      <c r="A1" s="1" t="inlineStr">
        <is>
          <t>Enlaces usados en la planificación y su verificación</t>
        </is>
      </c>
    </row>
    <row r="2" ht="40" customHeight="1">
      <c r="A2" s="30" t="inlineStr">
        <is>
          <t>Método: cada URL apareció literalmente en resultados de búsqueda web con título y contenido coincidentes (30/09/2026). El entorno de trabajo bloquea la apertura directa de estos sitios, así que no se comprobó el código HTTP. Se recomienda abrir cada enlace una vez antes de publicarlo a los estudiantes.</t>
        </is>
      </c>
    </row>
    <row r="4">
      <c r="A4" s="3" t="inlineStr">
        <is>
          <t>Clave</t>
        </is>
      </c>
      <c r="B4" s="3" t="inlineStr">
        <is>
          <t>Recurso</t>
        </is>
      </c>
      <c r="C4" s="3" t="inlineStr">
        <is>
          <t>URL</t>
        </is>
      </c>
      <c r="D4" s="3" t="inlineStr">
        <is>
          <t>Estado</t>
        </is>
      </c>
    </row>
    <row r="5">
      <c r="A5" s="15" t="inlineStr">
        <is>
          <t>BLOOM</t>
        </is>
      </c>
      <c r="B5" s="6" t="inlineStr">
        <is>
          <t>Taxonomía de Bloom, guía del Center for Teaching de Vanderbilt (archivo)</t>
        </is>
      </c>
      <c r="C5" s="5" t="inlineStr">
        <is>
          <t>https://derekbruff.org/vanderbilt-cft-teaching-guides-archive/blooms-taxonomy/</t>
        </is>
      </c>
      <c r="D5" s="6" t="inlineStr">
        <is>
          <t>Confirmado por búsqueda web</t>
        </is>
      </c>
    </row>
    <row r="6">
      <c r="A6" s="15" t="inlineStr">
        <is>
          <t>BIOMECH</t>
        </is>
      </c>
      <c r="B6" s="6" t="inlineStr">
        <is>
          <t>Biomechatronics (Wikipedia)</t>
        </is>
      </c>
      <c r="C6" s="5" t="inlineStr">
        <is>
          <t>https://en.wikipedia.org/wiki/Biomechatronics</t>
        </is>
      </c>
      <c r="D6" s="6" t="inlineStr">
        <is>
          <t>Confirmado por búsqueda web</t>
        </is>
      </c>
    </row>
    <row r="7">
      <c r="A7" s="15" t="inlineStr">
        <is>
          <t>PMCBIO</t>
        </is>
      </c>
      <c r="B7" s="6" t="inlineStr">
        <is>
          <t>The Interplay of Biomimetics and Biomechatronics (PMC)</t>
        </is>
      </c>
      <c r="C7" s="5" t="inlineStr">
        <is>
          <t>https://pmc.ncbi.nlm.nih.gov/articles/PMC9326577/</t>
        </is>
      </c>
      <c r="D7" s="6" t="inlineStr">
        <is>
          <t>Confirmado por búsqueda web</t>
        </is>
      </c>
    </row>
    <row r="8">
      <c r="A8" s="15" t="inlineStr">
        <is>
          <t>MLCC</t>
        </is>
      </c>
      <c r="B8" s="6" t="inlineStr">
        <is>
          <t>Machine Learning Crash Course (Google)</t>
        </is>
      </c>
      <c r="C8" s="5" t="inlineStr">
        <is>
          <t>https://developers.google.com/machine-learning/crash-course</t>
        </is>
      </c>
      <c r="D8" s="6" t="inlineStr">
        <is>
          <t>Confirmado por búsqueda web</t>
        </is>
      </c>
    </row>
    <row r="9">
      <c r="A9" s="15" t="inlineStr">
        <is>
          <t>SKL</t>
        </is>
      </c>
      <c r="B9" s="6" t="inlineStr">
        <is>
          <t>Guía de usuario de scikit-learn</t>
        </is>
      </c>
      <c r="C9" s="5" t="inlineStr">
        <is>
          <t>https://scikit-learn.org/stable/user_guide.html</t>
        </is>
      </c>
      <c r="D9" s="6" t="inlineStr">
        <is>
          <t>Confirmado por búsqueda web</t>
        </is>
      </c>
    </row>
    <row r="10">
      <c r="A10" s="15" t="inlineStr">
        <is>
          <t>SKLCL</t>
        </is>
      </c>
      <c r="B10" s="6" t="inlineStr">
        <is>
          <t>scikit-learn: Clustering</t>
        </is>
      </c>
      <c r="C10" s="5" t="inlineStr">
        <is>
          <t>https://scikit-learn.org/stable/modules/clustering.html</t>
        </is>
      </c>
      <c r="D10" s="6" t="inlineStr">
        <is>
          <t>Confirmado por búsqueda web</t>
        </is>
      </c>
    </row>
    <row r="11">
      <c r="A11" s="15" t="inlineStr">
        <is>
          <t>SKLNN</t>
        </is>
      </c>
      <c r="B11" s="6" t="inlineStr">
        <is>
          <t>scikit-learn: Redes neuronales supervisadas</t>
        </is>
      </c>
      <c r="C11" s="5" t="inlineStr">
        <is>
          <t>https://scikit-learn.org/stable/modules/neural_networks_supervised.html</t>
        </is>
      </c>
      <c r="D11" s="6" t="inlineStr">
        <is>
          <t>Confirmado por búsqueda web</t>
        </is>
      </c>
    </row>
    <row r="12">
      <c r="A12" s="15" t="inlineStr">
        <is>
          <t>COLAB</t>
        </is>
      </c>
      <c r="B12" s="6" t="inlineStr">
        <is>
          <t>Google Colab</t>
        </is>
      </c>
      <c r="C12" s="5" t="inlineStr">
        <is>
          <t>https://colab.research.google.com/</t>
        </is>
      </c>
      <c r="D12" s="6" t="inlineStr">
        <is>
          <t>Confirmado por búsqueda web</t>
        </is>
      </c>
    </row>
    <row r="13">
      <c r="A13" s="15" t="inlineStr">
        <is>
          <t>MITDB</t>
        </is>
      </c>
      <c r="B13" s="6" t="inlineStr">
        <is>
          <t>MIT-BIH Arrhythmia Database (PhysioNet)</t>
        </is>
      </c>
      <c r="C13" s="5" t="inlineStr">
        <is>
          <t>https://physionet.org/content/mitdb/1.0.0/</t>
        </is>
      </c>
      <c r="D13" s="6" t="inlineStr">
        <is>
          <t>Confirmado por búsqueda web</t>
        </is>
      </c>
    </row>
    <row r="14">
      <c r="A14" s="15" t="inlineStr">
        <is>
          <t>BIDMC</t>
        </is>
      </c>
      <c r="B14" s="6" t="inlineStr">
        <is>
          <t>BIDMC PPG and Respiration Dataset (PhysioNet)</t>
        </is>
      </c>
      <c r="C14" s="5" t="inlineStr">
        <is>
          <t>https://physionet.org/content/bidmc/1.0.0/</t>
        </is>
      </c>
      <c r="D14" s="6" t="inlineStr">
        <is>
          <t>Confirmado por búsqueda web</t>
        </is>
      </c>
    </row>
    <row r="15">
      <c r="A15" s="15" t="inlineStr">
        <is>
          <t>EEGMMI</t>
        </is>
      </c>
      <c r="B15" s="6" t="inlineStr">
        <is>
          <t>EEG Motor Movement/Imagery Dataset (PhysioNet)</t>
        </is>
      </c>
      <c r="C15" s="5" t="inlineStr">
        <is>
          <t>https://physionet.org/content/eegmmidb/1.0.0/</t>
        </is>
      </c>
      <c r="D15" s="6" t="inlineStr">
        <is>
          <t>Confirmado por búsqueda web</t>
        </is>
      </c>
    </row>
    <row r="16">
      <c r="A16" s="15" t="inlineStr">
        <is>
          <t>UCIEMG</t>
        </is>
      </c>
      <c r="B16" s="6" t="inlineStr">
        <is>
          <t>EMG dataset in Lower Limb (UCI)</t>
        </is>
      </c>
      <c r="C16" s="5" t="inlineStr">
        <is>
          <t>https://archive.ics.uci.edu/dataset/278/emg+dataset+in+lower+limb</t>
        </is>
      </c>
      <c r="D16" s="6" t="inlineStr">
        <is>
          <t>Confirmado por búsqueda web</t>
        </is>
      </c>
    </row>
    <row r="17">
      <c r="A17" s="15" t="inlineStr">
        <is>
          <t>NK2</t>
        </is>
      </c>
      <c r="B17" s="6" t="inlineStr">
        <is>
          <t>NeuroKit2: toolbox de Python para señales fisiológicas (artículo)</t>
        </is>
      </c>
      <c r="C17" s="5" t="inlineStr">
        <is>
          <t>https://link.springer.com/article/10.3758/s13428-020-01516-y</t>
        </is>
      </c>
      <c r="D17" s="6" t="inlineStr">
        <is>
          <t>Confirmado por búsqueda web</t>
        </is>
      </c>
    </row>
    <row r="18">
      <c r="A18" s="15" t="inlineStr">
        <is>
          <t>NK2PIP</t>
        </is>
      </c>
      <c r="B18" s="6" t="inlineStr">
        <is>
          <t>NeuroKit2 en PyPI</t>
        </is>
      </c>
      <c r="C18" s="5" t="inlineStr">
        <is>
          <t>https://pypi.org/project/neurokit2/</t>
        </is>
      </c>
      <c r="D18" s="6" t="inlineStr">
        <is>
          <t>Confirmado por búsqueda web</t>
        </is>
      </c>
    </row>
    <row r="19">
      <c r="A19" s="15" t="inlineStr">
        <is>
          <t>MNE</t>
        </is>
      </c>
      <c r="B19" s="6" t="inlineStr">
        <is>
          <t>MNE-Python: visión general del análisis EEG</t>
        </is>
      </c>
      <c r="C19" s="5" t="inlineStr">
        <is>
          <t>https://mne.tools/stable/auto_tutorials/intro/10_overview.html</t>
        </is>
      </c>
      <c r="D19" s="6" t="inlineStr">
        <is>
          <t>Confirmado por búsqueda web</t>
        </is>
      </c>
    </row>
    <row r="20">
      <c r="A20" s="15" t="inlineStr">
        <is>
          <t>TCIA</t>
        </is>
      </c>
      <c r="B20" s="6" t="inlineStr">
        <is>
          <t>TCIA: colecciones públicas de imágenes (CT, MRI, PET)</t>
        </is>
      </c>
      <c r="C20" s="5" t="inlineStr">
        <is>
          <t>https://wiki.cancerimagingarchive.net/display/Public/Collections</t>
        </is>
      </c>
      <c r="D20" s="6" t="inlineStr">
        <is>
          <t>Confirmado por búsqueda web</t>
        </is>
      </c>
    </row>
    <row r="21">
      <c r="A21" s="15" t="inlineStr">
        <is>
          <t>TCIAPAPER</t>
        </is>
      </c>
      <c r="B21" s="6" t="inlineStr">
        <is>
          <t>The public cancer radiology imaging collections of TCIA (Scientific Data)</t>
        </is>
      </c>
      <c r="C21" s="5" t="inlineStr">
        <is>
          <t>https://www.nature.com/articles/sdata2017124</t>
        </is>
      </c>
      <c r="D21" s="6" t="inlineStr">
        <is>
          <t>Confirmado por búsqueda web</t>
        </is>
      </c>
    </row>
    <row r="22">
      <c r="A22" s="15" t="inlineStr">
        <is>
          <t>SLICER</t>
        </is>
      </c>
      <c r="B22" s="6" t="inlineStr">
        <is>
          <t>3D Slicer</t>
        </is>
      </c>
      <c r="C22" s="5" t="inlineStr">
        <is>
          <t>https://www.slicer.org/</t>
        </is>
      </c>
      <c r="D22" s="6" t="inlineStr">
        <is>
          <t>Confirmado por búsqueda web</t>
        </is>
      </c>
    </row>
    <row r="23">
      <c r="A23" s="15" t="inlineStr">
        <is>
          <t>CXR</t>
        </is>
      </c>
      <c r="B23" s="6" t="inlineStr">
        <is>
          <t>Chest X-Ray Images, Pneumonia (Kaggle)</t>
        </is>
      </c>
      <c r="C23" s="5" t="inlineStr">
        <is>
          <t>https://www.kaggle.com/datasets/paultimothymooney/chest-xray-pneumonia</t>
        </is>
      </c>
      <c r="D23" s="6" t="inlineStr">
        <is>
          <t>Confirmado por búsqueda web</t>
        </is>
      </c>
    </row>
    <row r="24">
      <c r="A24" s="15" t="inlineStr">
        <is>
          <t>PLAY</t>
        </is>
      </c>
      <c r="B24" s="6" t="inlineStr">
        <is>
          <t>TensorFlow Playground</t>
        </is>
      </c>
      <c r="C24" s="5" t="inlineStr">
        <is>
          <t>https://playground.tensorflow.org/</t>
        </is>
      </c>
      <c r="D24" s="6" t="inlineStr">
        <is>
          <t>Confirmado por búsqueda web</t>
        </is>
      </c>
    </row>
    <row r="25">
      <c r="A25" s="15" t="inlineStr">
        <is>
          <t>CS231N</t>
        </is>
      </c>
      <c r="B25" s="6" t="inlineStr">
        <is>
          <t>CS231n: Convolutional Neural Networks (Stanford)</t>
        </is>
      </c>
      <c r="C25" s="5" t="inlineStr">
        <is>
          <t>https://cs231n.github.io/convolutional-networks/</t>
        </is>
      </c>
      <c r="D25" s="6" t="inlineStr">
        <is>
          <t>Confirmado por búsqueda web</t>
        </is>
      </c>
    </row>
    <row r="26">
      <c r="A26" s="15" t="inlineStr">
        <is>
          <t>TFCNN</t>
        </is>
      </c>
      <c r="B26" s="6" t="inlineStr">
        <is>
          <t>Tutorial CNN de TensorFlow</t>
        </is>
      </c>
      <c r="C26" s="5" t="inlineStr">
        <is>
          <t>https://www.tensorflow.org/tutorials/images/cnn</t>
        </is>
      </c>
      <c r="D26" s="6" t="inlineStr">
        <is>
          <t>Confirmado por búsqueda web</t>
        </is>
      </c>
    </row>
    <row r="27">
      <c r="A27" s="15" t="inlineStr">
        <is>
          <t>TFSEG</t>
        </is>
      </c>
      <c r="B27" s="6" t="inlineStr">
        <is>
          <t>Tutorial de segmentación de imágenes de TensorFlow (U-Net)</t>
        </is>
      </c>
      <c r="C27" s="5" t="inlineStr">
        <is>
          <t>https://www.tensorflow.org/tutorials/images/segmentation</t>
        </is>
      </c>
      <c r="D27" s="6" t="inlineStr">
        <is>
          <t>Confirmado por búsqueda web</t>
        </is>
      </c>
    </row>
    <row r="28">
      <c r="A28" s="15" t="inlineStr">
        <is>
          <t>UNET</t>
        </is>
      </c>
      <c r="B28" s="6" t="inlineStr">
        <is>
          <t>U-Net: Convolutional Networks for Biomedical Image Segmentation (arXiv)</t>
        </is>
      </c>
      <c r="C28" s="5" t="inlineStr">
        <is>
          <t>https://arxiv.org/abs/1505.04597</t>
        </is>
      </c>
      <c r="D28" s="6" t="inlineStr">
        <is>
          <t>Confirmado por búsqueda web</t>
        </is>
      </c>
    </row>
    <row r="29">
      <c r="A29" s="15" t="inlineStr">
        <is>
          <t>LGG</t>
        </is>
      </c>
      <c r="B29" s="6" t="inlineStr">
        <is>
          <t>LGG MRI Segmentation (Kaggle)</t>
        </is>
      </c>
      <c r="C29" s="5" t="inlineStr">
        <is>
          <t>https://www.kaggle.com/datasets/mateuszbuda/lgg-mri-segmentation</t>
        </is>
      </c>
      <c r="D29" s="6" t="inlineStr">
        <is>
          <t>Confirmado por búsqueda web</t>
        </is>
      </c>
    </row>
    <row r="30">
      <c r="A30" s="15" t="inlineStr">
        <is>
          <t>BRAINSEG</t>
        </is>
      </c>
      <c r="B30" s="6" t="inlineStr">
        <is>
          <t>brain-segmentation-pytorch: U-Net para FLAIR (GitHub)</t>
        </is>
      </c>
      <c r="C30" s="5" t="inlineStr">
        <is>
          <t>https://github.com/mateuszbuda/brain-segmentation-pytorch</t>
        </is>
      </c>
      <c r="D30" s="6" t="inlineStr">
        <is>
          <t>Confirmado por búsqueda web</t>
        </is>
      </c>
    </row>
    <row r="31">
      <c r="A31" s="15" t="inlineStr">
        <is>
          <t>MONAI</t>
        </is>
      </c>
      <c r="B31" s="6" t="inlineStr">
        <is>
          <t>MONAI: framework de deep learning para imagen médica</t>
        </is>
      </c>
      <c r="C31" s="5" t="inlineStr">
        <is>
          <t>https://monai.io/</t>
        </is>
      </c>
      <c r="D31" s="6" t="inlineStr">
        <is>
          <t>Confirmado por búsqueda web</t>
        </is>
      </c>
    </row>
    <row r="32">
      <c r="A32" s="15" t="inlineStr">
        <is>
          <t>OSSS</t>
        </is>
      </c>
      <c r="B32" s="6" t="inlineStr">
        <is>
          <t>OpenStax Física Universitaria: esfuerzo, deformación y módulo elástico</t>
        </is>
      </c>
      <c r="C32" s="5" t="inlineStr">
        <is>
          <t>https://openstax.org/books/university-physics-volume-1/pages/12-3-stress-strain-and-elastic-modulus</t>
        </is>
      </c>
      <c r="D32" s="6" t="inlineStr">
        <is>
          <t>Confirmado por búsqueda web</t>
        </is>
      </c>
    </row>
    <row r="33">
      <c r="A33" s="15" t="inlineStr">
        <is>
          <t>OSEP</t>
        </is>
      </c>
      <c r="B33" s="6" t="inlineStr">
        <is>
          <t>OpenStax Física Universitaria: elasticidad y plasticidad</t>
        </is>
      </c>
      <c r="C33" s="5" t="inlineStr">
        <is>
          <t>https://openstax.org/books/university-physics-volume-1/pages/12-4-elasticity-and-plasticity</t>
        </is>
      </c>
      <c r="D33" s="6" t="inlineStr">
        <is>
          <t>Confirmado por búsqueda web</t>
        </is>
      </c>
    </row>
    <row r="34">
      <c r="A34" s="15" t="inlineStr">
        <is>
          <t>OPENSIM</t>
        </is>
      </c>
      <c r="B34" s="6" t="inlineStr">
        <is>
          <t>OpenSim (SimTK)</t>
        </is>
      </c>
      <c r="C34" s="5" t="inlineStr">
        <is>
          <t>https://simtk.org/projects/opensim</t>
        </is>
      </c>
      <c r="D34" s="6" t="inlineStr">
        <is>
          <t>Confirmado por búsqueda web</t>
        </is>
      </c>
    </row>
    <row r="35">
      <c r="A35" s="15" t="inlineStr">
        <is>
          <t>OSTUT</t>
        </is>
      </c>
      <c r="B35" s="6" t="inlineStr">
        <is>
          <t>OpenSim Tutorial 1: introducción al modelado musculoesquelético</t>
        </is>
      </c>
      <c r="C35" s="5" t="inlineStr">
        <is>
          <t>https://opensimconfluence.atlassian.net/wiki/spaces/OpenSim/pages/53088700/Tutorial+1+-+Intro+to+Musculoskeletal+Modeling</t>
        </is>
      </c>
      <c r="D35" s="6" t="inlineStr">
        <is>
          <t>Confirmado por búsqueda web</t>
        </is>
      </c>
    </row>
    <row r="36">
      <c r="A36" s="15" t="inlineStr">
        <is>
          <t>GMSH</t>
        </is>
      </c>
      <c r="B36" s="6" t="inlineStr">
        <is>
          <t>Gmsh: generador de mallas de elementos finitos</t>
        </is>
      </c>
      <c r="C36" s="5" t="inlineStr">
        <is>
          <t>https://gmsh.info/</t>
        </is>
      </c>
      <c r="D36" s="6" t="inlineStr">
        <is>
          <t>Confirmado por búsqueda web</t>
        </is>
      </c>
    </row>
    <row r="37">
      <c r="A37" s="15" t="inlineStr">
        <is>
          <t>FCFEM</t>
        </is>
      </c>
      <c r="B37" s="6" t="inlineStr">
        <is>
          <t>Tutorial FEM de FreeCAD</t>
        </is>
      </c>
      <c r="C37" s="5" t="inlineStr">
        <is>
          <t>https://wiki.freecad.org/FEM_tutorial</t>
        </is>
      </c>
      <c r="D37" s="6" t="inlineStr">
        <is>
          <t>Confirmado por búsqueda web</t>
        </is>
      </c>
    </row>
    <row r="38">
      <c r="A38" s="15" t="inlineStr">
        <is>
          <t>FEMREV</t>
        </is>
      </c>
      <c r="B38" s="6" t="inlineStr">
        <is>
          <t>Biomechanical Analysis of Human Femur using Finite Element Method: A Review</t>
        </is>
      </c>
      <c r="C38" s="5" t="inlineStr">
        <is>
          <t>https://www.sciencedirect.com/science/article/abs/pii/S2214785322002784</t>
        </is>
      </c>
      <c r="D38" s="6" t="inlineStr">
        <is>
          <t>Confirmado por búsqueda web</t>
        </is>
      </c>
    </row>
    <row r="39">
      <c r="A39" s="15" t="inlineStr">
        <is>
          <t>FEMDIST</t>
        </is>
      </c>
      <c r="B39" s="6" t="inlineStr">
        <is>
          <t>FEA del fémur distal, normal vs osteoartrítico (Computation, MDPI)</t>
        </is>
      </c>
      <c r="C39" s="5" t="inlineStr">
        <is>
          <t>https://doi.org/10.3390/computation14010018</t>
        </is>
      </c>
      <c r="D39" s="6" t="inlineStr">
        <is>
          <t>Confirmado por búsqueda web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2026-09-30T16:12:34Z</dcterms:created>
  <dcterms:modified xsi:type="dcterms:W3CDTF">2026-09-30T16:12:34Z</dcterms:modified>
</cp:coreProperties>
</file>